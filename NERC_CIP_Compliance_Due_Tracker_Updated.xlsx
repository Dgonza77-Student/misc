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c087ade9b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Overview" sheetId="1" r:id="R10fef1f0dc994aa9"/>
    <x:sheet xmlns:r="http://schemas.openxmlformats.org/officeDocument/2006/relationships" name="Filtered View" sheetId="2" r:id="Rffa8f7f9d209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/yyyy"/>
    <x:numFmt numFmtId="201" formatCode="0"/>
    <x:numFmt numFmtId="202" formatCode="0.##"/>
  </x:numFmts>
  <x:fonts count="19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34155"/>
      <x:name val="Carlito"/>
    </x:font>
    <x:font>
      <x:b/>
      <x:sz val="11"/>
      <x:color rgb="FF1F2937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595959"/>
      <x:name val="Carlito"/>
    </x:font>
    <x:font>
      <x:sz val="11"/>
      <x:color rgb="FF475569"/>
      <x:name val="Carlito"/>
    </x:font>
    <x:font>
      <x:i/>
      <x:sz val="11"/>
      <x:color rgb="FF595959"/>
      <x:name val="Carlito"/>
    </x:font>
    <x:font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Carlito"/>
    </x:font>
    <x:font>
      <x:i/>
      <x:sz val="11"/>
      <x:color rgb="FF40566A"/>
      <x:name val="Carlito"/>
    </x:font>
    <x:font>
      <x:b/>
      <x:sz val="11"/>
      <x:color rgb="FF243746"/>
      <x:name val="Carlito"/>
    </x:font>
    <x:font>
      <x:b/>
      <x:sz val="11"/>
      <x:name val="Carlito"/>
    </x:font>
    <x:font>
      <x:i/>
      <x:sz val="11"/>
      <x:color rgb="FF555555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</x:fonts>
  <x:fills count="47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7D6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7D6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  <x:fill>
      <x:patternFill patternType="solid">
        <x:fgColor rgb="FF123A5A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EF4F8"/>
      </x:patternFill>
    </x:fill>
    <x:fill>
      <x:patternFill patternType="solid">
        <x:fgColor rgb="FFFFF7D6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8FAFC"/>
      </x:patternFill>
    </x:fill>
    <x:fill>
      <x:patternFill patternType="solid">
        <x:fgColor rgb="FFE7E6E6"/>
      </x:patternFill>
    </x:fill>
    <x:fill>
      <x:patternFill patternType="solid">
        <x:fgColor rgb="FF174767"/>
      </x:patternFill>
    </x:fill>
    <x:fill>
      <x:patternFill patternType="solid">
        <x:fgColor rgb="FFDCEBF5"/>
      </x:patternFill>
    </x:fill>
    <x:fill>
      <x:patternFill patternType="solid">
        <x:fgColor rgb="FF215779"/>
      </x:patternFill>
    </x:fill>
    <x:fill>
      <x:patternFill patternType="solid">
        <x:fgColor rgb="FFCBE9F5"/>
      </x:patternFill>
    </x:fill>
    <x:fill>
      <x:patternFill patternType="solid">
        <x:fgColor rgb="FFFFF2CC"/>
      </x:patternFill>
    </x:fill>
    <x:fill>
      <x:patternFill patternType="solid">
        <x:fgColor rgb="FFC6E0B4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16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right style="thin">
        <x:color rgb="FFD6DEE5"/>
      </x:right>
      <x:top style="thin">
        <x:color rgb="FFD6DEE5"/>
      </x:top>
    </x:border>
    <x:border>
      <x:left style="thin">
        <x:color rgb="FFD6DEE5"/>
      </x:left>
      <x:top style="thin">
        <x:color rgb="FFD6DEE5"/>
      </x:top>
    </x:border>
    <x:border>
      <x:top style="thin">
        <x:color rgb="FFD6DEE5"/>
      </x:top>
    </x:border>
    <x:border>
      <x:left style="thin">
        <x:color rgb="FFD6DEE5"/>
      </x:left>
    </x:border>
    <x:border>
      <x:right style="thin">
        <x:color rgb="FFD6DEE5"/>
      </x:right>
    </x:border>
    <x:border>
      <x:bottom style="thin">
        <x:color rgb="FFD6DEE5"/>
      </x:bottom>
    </x:border>
    <x:border>
      <x:top style="thin">
        <x:color rgb="FFD6DEE5"/>
      </x:top>
      <x:bottom style="thin">
        <x:color rgb="FFD6DEE5"/>
      </x:bottom>
    </x:border>
    <x:border>
      <x:left style="thin">
        <x:color rgb="FFC8D6E0"/>
      </x:left>
      <x:right style="thin">
        <x:color rgb="FFC8D6E0"/>
      </x:right>
      <x:top style="thin">
        <x:color rgb="FFC8D6E0"/>
      </x:top>
      <x:bottom style="thin">
        <x:color rgb="FFC8D6E0"/>
      </x:bottom>
    </x:border>
  </x:borders>
  <x:cellStyleXfs count="1">
    <x:xf numFmtId="0" fontId="0" fillId="0" borderId="0"/>
  </x:cellStyleXfs>
  <x:cellXfs count="4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200" fontId="0" fillId="0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5" borderId="3" xfId="0" applyNumberFormat="1" applyFont="1" applyFill="1" applyBorder="1" applyAlignment="1">
      <x:alignment horizontal="center"/>
    </x:xf>
    <x:xf numFmtId="200" fontId="0" fillId="5" borderId="4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 applyAlignment="1">
      <x:alignment horizontal="center"/>
    </x:xf>
    <x:xf numFmtId="200" fontId="0" fillId="5" borderId="6" xfId="0" applyNumberFormat="1" applyFont="1" applyFill="1" applyBorder="1" applyAlignment="1">
      <x:alignment horizontal="center"/>
    </x:xf>
    <x:xf numFmtId="200" fontId="0" fillId="5" borderId="8" xfId="0" applyNumberFormat="1" applyFont="1" applyFill="1" applyBorder="1" applyAlignment="1">
      <x:alignment horizontal="center"/>
    </x:xf>
    <x:xf numFmtId="200" fontId="0" fillId="5" borderId="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horizontal="center"/>
    </x:xf>
    <x:xf numFmtId="201" fontId="0" fillId="7" borderId="1" xfId="0" applyNumberFormat="1" applyFont="1" applyFill="1" applyBorder="1" applyAlignment="1">
      <x:alignment horizontal="center"/>
    </x:xf>
    <x:xf numFmtId="202" fontId="0" fillId="7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9" xfId="0" applyNumberFormat="1" applyFont="1" applyFill="1" applyBorder="1"/>
    <x:xf numFmtId="0" fontId="8" fillId="11" borderId="10" xfId="0" applyNumberFormat="1" applyFont="1" applyFill="1" applyBorder="1"/>
    <x:xf numFmtId="0" fontId="8" fillId="11" borderId="7" xfId="0" applyNumberFormat="1" applyFont="1" applyFill="1" applyBorder="1"/>
    <x:xf numFmtId="0" fontId="8" fillId="11" borderId="11" xfId="0" applyNumberFormat="1" applyFont="1" applyFill="1" applyBorder="1"/>
    <x:xf numFmtId="0" fontId="8" fillId="11" borderId="12" xfId="0" applyNumberFormat="1" applyFont="1" applyFill="1" applyBorder="1"/>
    <x:xf numFmtId="0" fontId="8" fillId="11" borderId="4" xfId="0" applyNumberFormat="1" applyFont="1" applyFill="1" applyBorder="1"/>
    <x:xf numFmtId="0" fontId="8" fillId="11" borderId="13" xfId="0" applyNumberFormat="1" applyFont="1" applyFill="1" applyBorder="1"/>
    <x:xf numFmtId="0" fontId="8" fillId="11" borderId="2" xfId="0" applyNumberFormat="1" applyFont="1" applyFill="1" applyBorder="1"/>
    <x:xf numFmtId="0" fontId="8" fillId="11" borderId="9" xfId="0" applyNumberFormat="1" applyFont="1" applyFill="1" applyBorder="1" applyAlignment="1">
      <x:alignment wrapText="1"/>
    </x:xf>
    <x:xf numFmtId="0" fontId="8" fillId="11" borderId="10" xfId="0" applyNumberFormat="1" applyFont="1" applyFill="1" applyBorder="1" applyAlignment="1">
      <x:alignment wrapText="1"/>
    </x:xf>
    <x:xf numFmtId="0" fontId="8" fillId="11" borderId="7" xfId="0" applyNumberFormat="1" applyFont="1" applyFill="1" applyBorder="1" applyAlignment="1">
      <x:alignment wrapText="1"/>
    </x:xf>
    <x:xf numFmtId="0" fontId="8" fillId="11" borderId="11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12" xfId="0" applyNumberFormat="1" applyFont="1" applyFill="1" applyBorder="1" applyAlignment="1">
      <x:alignment wrapText="1"/>
    </x:xf>
    <x:xf numFmtId="0" fontId="8" fillId="11" borderId="4" xfId="0" applyNumberFormat="1" applyFont="1" applyFill="1" applyBorder="1" applyAlignment="1">
      <x:alignment wrapText="1"/>
    </x:xf>
    <x:xf numFmtId="0" fontId="8" fillId="11" borderId="13" xfId="0" applyNumberFormat="1" applyFont="1" applyFill="1" applyBorder="1" applyAlignment="1">
      <x:alignment wrapText="1"/>
    </x:xf>
    <x:xf numFmtId="0" fontId="8" fillId="11" borderId="2" xfId="0" applyNumberFormat="1" applyFont="1" applyFill="1" applyBorder="1" applyAlignment="1">
      <x:alignment wrapText="1"/>
    </x:xf>
    <x:xf numFmtId="0" fontId="8" fillId="11" borderId="9" xfId="0" applyNumberFormat="1" applyFont="1" applyFill="1" applyBorder="1" applyAlignment="1">
      <x:alignment vertical="top" wrapText="1"/>
    </x:xf>
    <x:xf numFmtId="0" fontId="8" fillId="11" borderId="10" xfId="0" applyNumberFormat="1" applyFont="1" applyFill="1" applyBorder="1" applyAlignment="1">
      <x:alignment vertical="top" wrapText="1"/>
    </x:xf>
    <x:xf numFmtId="0" fontId="8" fillId="11" borderId="7" xfId="0" applyNumberFormat="1" applyFont="1" applyFill="1" applyBorder="1" applyAlignment="1">
      <x:alignment vertical="top" wrapText="1"/>
    </x:xf>
    <x:xf numFmtId="0" fontId="8" fillId="11" borderId="11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8" fillId="11" borderId="12" xfId="0" applyNumberFormat="1" applyFont="1" applyFill="1" applyBorder="1" applyAlignment="1">
      <x:alignment vertical="top" wrapText="1"/>
    </x:xf>
    <x:xf numFmtId="0" fontId="8" fillId="11" borderId="4" xfId="0" applyNumberFormat="1" applyFont="1" applyFill="1" applyBorder="1" applyAlignment="1">
      <x:alignment vertical="top" wrapText="1"/>
    </x:xf>
    <x:xf numFmtId="0" fontId="8" fillId="11" borderId="13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/>
    <x:xf numFmtId="0" fontId="3" fillId="7" borderId="6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 applyAlignment="1">
      <x:alignment horizontal="center"/>
    </x:xf>
    <x:xf numFmtId="0" fontId="3" fillId="7" borderId="5" xfId="0" applyNumberFormat="1" applyFont="1" applyFill="1" applyBorder="1" applyAlignment="1">
      <x:alignment horizontal="center"/>
    </x:xf>
    <x:xf numFmtId="0" fontId="3" fillId="7" borderId="6" xfId="0" applyNumberFormat="1" applyFont="1" applyFill="1" applyBorder="1" applyAlignment="1">
      <x:alignment horizontal="center" vertical="center"/>
    </x:xf>
    <x:xf numFmtId="0" fontId="3" fillId="7" borderId="5" xfId="0" applyNumberFormat="1" applyFont="1" applyFill="1" applyBorder="1" applyAlignment="1">
      <x:alignment horizontal="center" vertical="center"/>
    </x:xf>
    <x:xf numFmtId="0" fontId="3" fillId="7" borderId="14" xfId="0" applyNumberFormat="1" applyFont="1" applyFill="1" applyBorder="1"/>
    <x:xf numFmtId="0" fontId="3" fillId="7" borderId="14" xfId="0" applyNumberFormat="1" applyFont="1" applyFill="1" applyBorder="1" applyAlignment="1">
      <x:alignment horizontal="center"/>
    </x:xf>
    <x:xf numFmtId="0" fontId="3" fillId="7" borderId="14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horizont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200" fontId="11" fillId="5" borderId="1" xfId="0" applyNumberFormat="1" applyFont="1" applyFill="1" applyBorder="1" applyAlignment="1">
      <x:alignment horizontal="center" vertical="center" wrapText="1"/>
    </x:xf>
    <x:xf numFmtId="201" fontId="11" fillId="5" borderId="1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1" xfId="0" applyNumberFormat="1" applyFont="1" applyFill="1" applyBorder="1"/>
    <x:xf numFmtId="0" fontId="1" fillId="15" borderId="1" xfId="0" applyNumberFormat="1" applyFont="1" applyFill="1" applyBorder="1" applyAlignment="1">
      <x:alignment wrapText="1"/>
    </x:xf>
    <x:xf numFmtId="0" fontId="1" fillId="15" borderId="1" xfId="0" applyNumberFormat="1" applyFont="1" applyFill="1" applyBorder="1" applyAlignment="1">
      <x:alignment horizontal="center" wrapText="1"/>
    </x:xf>
    <x:xf numFmtId="0" fontId="1" fillId="15" borderId="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2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0" fontId="11" fillId="0" borderId="5" xfId="0" applyNumberFormat="1" applyFont="1" applyFill="1" applyBorder="1"/>
    <x:xf numFmtId="0" fontId="11" fillId="0" borderId="1" xfId="0" applyNumberFormat="1" applyFont="1" applyFill="1" applyBorder="1"/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1" fillId="0" borderId="2" xfId="0" applyNumberFormat="1" applyFont="1" applyFill="1" applyBorder="1" applyAlignment="1">
      <x:alignment wrapText="1"/>
    </x:xf>
    <x:xf numFmtId="0" fontId="11" fillId="0" borderId="3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11" fillId="0" borderId="5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0" borderId="4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left" vertical="center" wrapText="1"/>
    </x:xf>
    <x:xf numFmtId="0" fontId="11" fillId="0" borderId="3" xfId="0" applyNumberFormat="1" applyFont="1" applyFill="1" applyBorder="1" applyAlignment="1">
      <x:alignment horizontal="left" vertical="center" wrapText="1"/>
    </x:xf>
    <x:xf numFmtId="0" fontId="3" fillId="0" borderId="5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left" vertical="center" wrapText="1"/>
    </x:xf>
    <x:xf numFmtId="0" fontId="3" fillId="0" borderId="7" xfId="0" applyNumberFormat="1" applyFont="1" applyFill="1" applyBorder="1" applyAlignment="1">
      <x:alignment horizontal="left" vertical="center" wrapText="1"/>
    </x:xf>
    <x:xf numFmtId="0" fontId="11" fillId="0" borderId="8" xfId="0" applyNumberFormat="1" applyFont="1" applyFill="1" applyBorder="1" applyAlignment="1">
      <x:alignment horizontal="left" vertical="center" wrapText="1"/>
    </x:xf>
    <x:xf numFmtId="0" fontId="11" fillId="0" borderId="3" xfId="0" applyNumberFormat="1" applyFont="1" applyFill="1" applyBorder="1" applyAlignment="1">
      <x:alignment horizontal="center" vertical="center" wrapText="1"/>
    </x:xf>
    <x:xf numFmtId="0" fontId="11" fillId="0" borderId="4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 applyAlignment="1">
      <x:alignment horizontal="center" vertical="center" wrapText="1"/>
    </x:xf>
    <x:xf numFmtId="0" fontId="11" fillId="0" borderId="9" xfId="0" applyNumberFormat="1" applyFont="1" applyFill="1" applyBorder="1" applyAlignment="1">
      <x:alignment horizontal="center" vertical="center" wrapText="1"/>
    </x:xf>
    <x:xf numFmtId="200" fontId="11" fillId="0" borderId="3" xfId="0" applyNumberFormat="1" applyFont="1" applyFill="1" applyBorder="1" applyAlignment="1">
      <x:alignment horizontal="center" vertical="center" wrapText="1"/>
    </x:xf>
    <x:xf numFmtId="200" fontId="11" fillId="0" borderId="1" xfId="0" applyNumberFormat="1" applyFont="1" applyFill="1" applyBorder="1" applyAlignment="1">
      <x:alignment horizontal="center" vertical="center" wrapText="1"/>
    </x:xf>
    <x:xf numFmtId="200" fontId="11" fillId="0" borderId="8" xfId="0" applyNumberFormat="1" applyFont="1" applyFill="1" applyBorder="1" applyAlignment="1">
      <x:alignment horizontal="center" vertical="center" wrapText="1"/>
    </x:xf>
    <x:xf numFmtId="201" fontId="11" fillId="0" borderId="3" xfId="0" applyNumberFormat="1" applyFont="1" applyFill="1" applyBorder="1" applyAlignment="1">
      <x:alignment horizontal="center" vertical="center" wrapText="1"/>
    </x:xf>
    <x:xf numFmtId="201" fontId="11" fillId="0" borderId="1" xfId="0" applyNumberFormat="1" applyFont="1" applyFill="1" applyBorder="1" applyAlignment="1">
      <x:alignment horizontal="center" vertical="center" wrapText="1"/>
    </x:xf>
    <x:xf numFmtId="201" fontId="11" fillId="0" borderId="8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1" xfId="0" applyNumberFormat="1" applyFont="1" applyFill="1" applyBorder="1"/>
    <x:xf numFmtId="0" fontId="1" fillId="18" borderId="1" xfId="0" applyNumberFormat="1" applyFont="1" applyFill="1" applyBorder="1" applyAlignment="1">
      <x:alignment wrapText="1"/>
    </x:xf>
    <x:xf numFmtId="0" fontId="1" fillId="18" borderId="1" xfId="0" applyNumberFormat="1" applyFont="1" applyFill="1" applyBorder="1" applyAlignment="1">
      <x:alignment horizontal="center" wrapText="1"/>
    </x:xf>
    <x:xf numFmtId="0" fontId="1" fillId="18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19" borderId="3" xfId="0" applyNumberFormat="1" applyFont="1" applyFill="1" applyBorder="1"/>
    <x:xf numFmtId="0" fontId="0" fillId="19" borderId="4" xfId="0" applyNumberFormat="1" applyFont="1" applyFill="1" applyBorder="1"/>
    <x:xf numFmtId="0" fontId="0" fillId="19" borderId="1" xfId="0" applyNumberFormat="1" applyFont="1" applyFill="1" applyBorder="1"/>
    <x:xf numFmtId="0" fontId="0" fillId="19" borderId="6" xfId="0" applyNumberFormat="1" applyFont="1" applyFill="1" applyBorder="1"/>
    <x:xf numFmtId="0" fontId="0" fillId="19" borderId="8" xfId="0" applyNumberFormat="1" applyFont="1" applyFill="1" applyBorder="1"/>
    <x:xf numFmtId="0" fontId="0" fillId="19" borderId="9" xfId="0" applyNumberFormat="1" applyFont="1" applyFill="1" applyBorder="1"/>
    <x:xf numFmtId="200" fontId="0" fillId="19" borderId="3" xfId="0" applyNumberFormat="1" applyFont="1" applyFill="1" applyBorder="1"/>
    <x:xf numFmtId="200" fontId="0" fillId="19" borderId="4" xfId="0" applyNumberFormat="1" applyFont="1" applyFill="1" applyBorder="1"/>
    <x:xf numFmtId="200" fontId="0" fillId="19" borderId="1" xfId="0" applyNumberFormat="1" applyFont="1" applyFill="1" applyBorder="1"/>
    <x:xf numFmtId="200" fontId="0" fillId="19" borderId="6" xfId="0" applyNumberFormat="1" applyFont="1" applyFill="1" applyBorder="1"/>
    <x:xf numFmtId="200" fontId="0" fillId="19" borderId="8" xfId="0" applyNumberFormat="1" applyFont="1" applyFill="1" applyBorder="1"/>
    <x:xf numFmtId="200" fontId="0" fillId="19" borderId="9" xfId="0" applyNumberFormat="1" applyFont="1" applyFill="1" applyBorder="1"/>
    <x:xf numFmtId="200" fontId="0" fillId="19" borderId="3" xfId="0" applyNumberFormat="1" applyFont="1" applyFill="1" applyBorder="1" applyAlignment="1">
      <x:alignment horizontal="center"/>
    </x:xf>
    <x:xf numFmtId="200" fontId="0" fillId="19" borderId="4" xfId="0" applyNumberFormat="1" applyFont="1" applyFill="1" applyBorder="1" applyAlignment="1">
      <x:alignment horizontal="center"/>
    </x:xf>
    <x:xf numFmtId="200" fontId="0" fillId="19" borderId="1" xfId="0" applyNumberFormat="1" applyFont="1" applyFill="1" applyBorder="1" applyAlignment="1">
      <x:alignment horizontal="center"/>
    </x:xf>
    <x:xf numFmtId="200" fontId="0" fillId="19" borderId="6" xfId="0" applyNumberFormat="1" applyFont="1" applyFill="1" applyBorder="1" applyAlignment="1">
      <x:alignment horizontal="center"/>
    </x:xf>
    <x:xf numFmtId="200" fontId="0" fillId="19" borderId="8" xfId="0" applyNumberFormat="1" applyFont="1" applyFill="1" applyBorder="1" applyAlignment="1">
      <x:alignment horizontal="center"/>
    </x:xf>
    <x:xf numFmtId="200" fontId="0" fillId="19" borderId="9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0" fillId="21" borderId="1" xfId="0" applyNumberFormat="1" applyFont="1" applyFill="1" applyBorder="1"/>
    <x:xf numFmtId="0" fontId="0" fillId="21" borderId="1" xfId="0" applyNumberFormat="1" applyFont="1" applyFill="1" applyBorder="1" applyAlignment="1">
      <x:alignment horizontal="center"/>
    </x:xf>
    <x:xf numFmtId="201" fontId="0" fillId="21" borderId="1" xfId="0" applyNumberFormat="1" applyFont="1" applyFill="1" applyBorder="1" applyAlignment="1">
      <x:alignment horizontal="center"/>
    </x:xf>
    <x:xf numFmtId="202" fontId="0" fillId="21" borderId="1" xfId="0" applyNumberFormat="1" applyFont="1" applyFill="1" applyBorder="1" applyAlignment="1">
      <x:alignment horizontal="center"/>
    </x:xf>
    <x:xf numFmtId="0" fontId="3" fillId="20" borderId="1" xfId="0" applyNumberFormat="1" applyFont="1" applyFill="1" applyBorder="1" applyAlignment="1">
      <x:alignment wrapText="1"/>
    </x:xf>
    <x:xf numFmtId="0" fontId="0" fillId="22" borderId="1" xfId="0" applyNumberFormat="1" applyFont="1" applyFill="1" applyBorder="1"/>
    <x:xf numFmtId="0" fontId="4" fillId="22" borderId="1" xfId="0" applyNumberFormat="1" applyFont="1" applyFill="1" applyBorder="1"/>
    <x:xf numFmtId="0" fontId="4" fillId="22" borderId="1" xfId="0" applyNumberFormat="1" applyFont="1" applyFill="1" applyBorder="1" applyAlignment="1">
      <x:alignment horizontal="center"/>
    </x:xf>
    <x:xf numFmtId="0" fontId="0" fillId="23" borderId="1" xfId="0" applyNumberFormat="1" applyFont="1" applyFill="1" applyBorder="1"/>
    <x:xf numFmtId="0" fontId="5" fillId="23" borderId="1" xfId="0" applyNumberFormat="1" applyFont="1" applyFill="1" applyBorder="1"/>
    <x:xf numFmtId="0" fontId="5" fillId="23" borderId="1" xfId="0" applyNumberFormat="1" applyFont="1" applyFill="1" applyBorder="1" applyAlignment="1">
      <x:alignment horizontal="center"/>
    </x:xf>
    <x:xf numFmtId="0" fontId="0" fillId="24" borderId="1" xfId="0" applyNumberFormat="1" applyFont="1" applyFill="1" applyBorder="1"/>
    <x:xf numFmtId="0" fontId="6" fillId="24" borderId="1" xfId="0" applyNumberFormat="1" applyFont="1" applyFill="1" applyBorder="1"/>
    <x:xf numFmtId="0" fontId="6" fillId="24" borderId="1" xfId="0" applyNumberFormat="1" applyFont="1" applyFill="1" applyBorder="1" applyAlignment="1">
      <x:alignment horizontal="center"/>
    </x:xf>
    <x:xf numFmtId="0" fontId="7" fillId="19" borderId="1" xfId="0" applyNumberFormat="1" applyFont="1" applyFill="1" applyBorder="1"/>
    <x:xf numFmtId="0" fontId="7" fillId="19" borderId="1" xfId="0" applyNumberFormat="1" applyFont="1" applyFill="1" applyBorder="1" applyAlignment="1">
      <x:alignment horizontal="center"/>
    </x:xf>
    <x:xf numFmtId="0" fontId="1" fillId="18" borderId="0" xfId="0" applyNumberFormat="1" applyFont="1" applyFill="1" applyBorder="1" applyAlignment="1">
      <x:alignment horizontal="center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borderId="9" xfId="0" applyNumberFormat="1" applyFont="1" applyFill="1" applyBorder="1"/>
    <x:xf numFmtId="0" fontId="8" fillId="25" borderId="10" xfId="0" applyNumberFormat="1" applyFont="1" applyFill="1" applyBorder="1"/>
    <x:xf numFmtId="0" fontId="8" fillId="25" borderId="7" xfId="0" applyNumberFormat="1" applyFont="1" applyFill="1" applyBorder="1"/>
    <x:xf numFmtId="0" fontId="8" fillId="25" borderId="11" xfId="0" applyNumberFormat="1" applyFont="1" applyFill="1" applyBorder="1"/>
    <x:xf numFmtId="0" fontId="8" fillId="25" xfId="0" applyNumberFormat="1" applyFont="1" applyFill="1" applyBorder="0"/>
    <x:xf numFmtId="0" fontId="8" fillId="25" borderId="12" xfId="0" applyNumberFormat="1" applyFont="1" applyFill="1" applyBorder="1"/>
    <x:xf numFmtId="0" fontId="8" fillId="25" borderId="4" xfId="0" applyNumberFormat="1" applyFont="1" applyFill="1" applyBorder="1"/>
    <x:xf numFmtId="0" fontId="8" fillId="25" borderId="13" xfId="0" applyNumberFormat="1" applyFont="1" applyFill="1" applyBorder="1"/>
    <x:xf numFmtId="0" fontId="8" fillId="25" borderId="2" xfId="0" applyNumberFormat="1" applyFont="1" applyFill="1" applyBorder="1"/>
    <x:xf numFmtId="0" fontId="8" fillId="25" borderId="9" xfId="0" applyNumberFormat="1" applyFont="1" applyFill="1" applyBorder="1" applyAlignment="1">
      <x:alignment wrapText="1"/>
    </x:xf>
    <x:xf numFmtId="0" fontId="8" fillId="25" borderId="10" xfId="0" applyNumberFormat="1" applyFont="1" applyFill="1" applyBorder="1" applyAlignment="1">
      <x:alignment wrapText="1"/>
    </x:xf>
    <x:xf numFmtId="0" fontId="8" fillId="25" borderId="7" xfId="0" applyNumberFormat="1" applyFont="1" applyFill="1" applyBorder="1" applyAlignment="1">
      <x:alignment wrapText="1"/>
    </x:xf>
    <x:xf numFmtId="0" fontId="8" fillId="25" borderId="11" xfId="0" applyNumberFormat="1" applyFont="1" applyFill="1" applyBorder="1" applyAlignment="1">
      <x:alignment wrapText="1"/>
    </x:xf>
    <x:xf numFmtId="0" fontId="8" fillId="25" xfId="0" applyNumberFormat="1" applyFont="1" applyFill="1" applyBorder="0" applyAlignment="1">
      <x:alignment wrapText="1"/>
    </x:xf>
    <x:xf numFmtId="0" fontId="8" fillId="25" borderId="12" xfId="0" applyNumberFormat="1" applyFont="1" applyFill="1" applyBorder="1" applyAlignment="1">
      <x:alignment wrapText="1"/>
    </x:xf>
    <x:xf numFmtId="0" fontId="8" fillId="25" borderId="4" xfId="0" applyNumberFormat="1" applyFont="1" applyFill="1" applyBorder="1" applyAlignment="1">
      <x:alignment wrapText="1"/>
    </x:xf>
    <x:xf numFmtId="0" fontId="8" fillId="25" borderId="13" xfId="0" applyNumberFormat="1" applyFont="1" applyFill="1" applyBorder="1" applyAlignment="1">
      <x:alignment wrapText="1"/>
    </x:xf>
    <x:xf numFmtId="0" fontId="8" fillId="25" borderId="2" xfId="0" applyNumberFormat="1" applyFont="1" applyFill="1" applyBorder="1" applyAlignment="1">
      <x:alignment wrapText="1"/>
    </x:xf>
    <x:xf numFmtId="0" fontId="8" fillId="25" borderId="9" xfId="0" applyNumberFormat="1" applyFont="1" applyFill="1" applyBorder="1" applyAlignment="1">
      <x:alignment vertical="top" wrapText="1"/>
    </x:xf>
    <x:xf numFmtId="0" fontId="8" fillId="25" borderId="10" xfId="0" applyNumberFormat="1" applyFont="1" applyFill="1" applyBorder="1" applyAlignment="1">
      <x:alignment vertical="top" wrapText="1"/>
    </x:xf>
    <x:xf numFmtId="0" fontId="8" fillId="25" borderId="7" xfId="0" applyNumberFormat="1" applyFont="1" applyFill="1" applyBorder="1" applyAlignment="1">
      <x:alignment vertical="top" wrapText="1"/>
    </x:xf>
    <x:xf numFmtId="0" fontId="8" fillId="25" borderId="11" xfId="0" applyNumberFormat="1" applyFont="1" applyFill="1" applyBorder="1" applyAlignment="1">
      <x:alignment vertical="top" wrapText="1"/>
    </x:xf>
    <x:xf numFmtId="0" fontId="8" fillId="25" xfId="0" applyNumberFormat="1" applyFont="1" applyFill="1" applyBorder="0" applyAlignment="1">
      <x:alignment vertical="top" wrapText="1"/>
    </x:xf>
    <x:xf numFmtId="0" fontId="8" fillId="25" borderId="12" xfId="0" applyNumberFormat="1" applyFont="1" applyFill="1" applyBorder="1" applyAlignment="1">
      <x:alignment vertical="top" wrapText="1"/>
    </x:xf>
    <x:xf numFmtId="0" fontId="8" fillId="25" borderId="4" xfId="0" applyNumberFormat="1" applyFont="1" applyFill="1" applyBorder="1" applyAlignment="1">
      <x:alignment vertical="top" wrapText="1"/>
    </x:xf>
    <x:xf numFmtId="0" fontId="8" fillId="25" borderId="13" xfId="0" applyNumberFormat="1" applyFont="1" applyFill="1" applyBorder="1" applyAlignment="1">
      <x:alignment vertical="top" wrapText="1"/>
    </x:xf>
    <x:xf numFmtId="0" fontId="8" fillId="25" borderId="2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9" fillId="26" borderId="0" xfId="0" applyNumberFormat="1" applyFont="1" applyFill="1" applyBorder="1"/>
    <x:xf numFmtId="0" fontId="9" fillId="26" borderId="0" xfId="0" applyNumberFormat="1" applyFont="1" applyFill="1" applyBorder="1" applyAlignment="1">
      <x:alignment wrapText="1"/>
    </x:xf>
    <x:xf numFmtId="0" fontId="9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1" fillId="27" borderId="0" xfId="0" applyNumberFormat="1" applyFont="1" applyFill="1" applyBorder="1"/>
    <x:xf numFmtId="0" fontId="1" fillId="27" borderId="0" xfId="0" applyNumberFormat="1" applyFont="1" applyFill="1" applyBorder="1" applyAlignment="1">
      <x:alignment horizontal="center"/>
    </x:xf>
    <x:xf numFmtId="0" fontId="1" fillId="27" borderId="0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0" xfId="0" applyNumberFormat="1" applyFont="1" applyFill="1" applyBorder="1" applyAlignment="1">
      <x:alignment wrapText="1"/>
    </x:xf>
    <x:xf numFmtId="0" fontId="2" fillId="28" borderId="0" xfId="0" applyNumberFormat="1" applyFont="1" applyFill="1" applyBorder="1" applyAlignment="1">
      <x:alignment horizontal="center" wrapText="1"/>
    </x:xf>
    <x:xf numFmtId="0" fontId="2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1" xfId="0" applyNumberFormat="1" applyFont="1" applyFill="1" applyBorder="1"/>
    <x:xf numFmtId="0" fontId="1" fillId="29" borderId="1" xfId="0" applyNumberFormat="1" applyFont="1" applyFill="1" applyBorder="1" applyAlignment="1">
      <x:alignment wrapText="1"/>
    </x:xf>
    <x:xf numFmtId="0" fontId="1" fillId="29" borderId="1" xfId="0" applyNumberFormat="1" applyFont="1" applyFill="1" applyBorder="1" applyAlignment="1">
      <x:alignment horizontal="center" wrapText="1"/>
    </x:xf>
    <x:xf numFmtId="0" fontId="1" fillId="29" borderId="1" xfId="0" applyNumberFormat="1" applyFont="1" applyFill="1" applyBorder="1" applyAlignment="1">
      <x:alignment horizontal="center" vertical="center" wrapText="1"/>
    </x:xf>
    <x:xf numFmtId="0" fontId="0" fillId="30" borderId="3" xfId="0" applyNumberFormat="1" applyFont="1" applyFill="1" applyBorder="1"/>
    <x:xf numFmtId="0" fontId="0" fillId="30" borderId="4" xfId="0" applyNumberFormat="1" applyFont="1" applyFill="1" applyBorder="1"/>
    <x:xf numFmtId="0" fontId="0" fillId="30" borderId="1" xfId="0" applyNumberFormat="1" applyFont="1" applyFill="1" applyBorder="1"/>
    <x:xf numFmtId="0" fontId="0" fillId="30" borderId="6" xfId="0" applyNumberFormat="1" applyFont="1" applyFill="1" applyBorder="1"/>
    <x:xf numFmtId="0" fontId="0" fillId="30" borderId="8" xfId="0" applyNumberFormat="1" applyFont="1" applyFill="1" applyBorder="1"/>
    <x:xf numFmtId="0" fontId="0" fillId="30" borderId="9" xfId="0" applyNumberFormat="1" applyFont="1" applyFill="1" applyBorder="1"/>
    <x:xf numFmtId="200" fontId="0" fillId="30" borderId="3" xfId="0" applyNumberFormat="1" applyFont="1" applyFill="1" applyBorder="1"/>
    <x:xf numFmtId="200" fontId="0" fillId="30" borderId="4" xfId="0" applyNumberFormat="1" applyFont="1" applyFill="1" applyBorder="1"/>
    <x:xf numFmtId="200" fontId="0" fillId="30" borderId="1" xfId="0" applyNumberFormat="1" applyFont="1" applyFill="1" applyBorder="1"/>
    <x:xf numFmtId="200" fontId="0" fillId="30" borderId="6" xfId="0" applyNumberFormat="1" applyFont="1" applyFill="1" applyBorder="1"/>
    <x:xf numFmtId="200" fontId="0" fillId="30" borderId="8" xfId="0" applyNumberFormat="1" applyFont="1" applyFill="1" applyBorder="1"/>
    <x:xf numFmtId="200" fontId="0" fillId="30" borderId="9" xfId="0" applyNumberFormat="1" applyFont="1" applyFill="1" applyBorder="1"/>
    <x:xf numFmtId="200" fontId="0" fillId="30" borderId="3" xfId="0" applyNumberFormat="1" applyFont="1" applyFill="1" applyBorder="1" applyAlignment="1">
      <x:alignment horizontal="center"/>
    </x:xf>
    <x:xf numFmtId="200" fontId="0" fillId="30" borderId="4" xfId="0" applyNumberFormat="1" applyFont="1" applyFill="1" applyBorder="1" applyAlignment="1">
      <x:alignment horizontal="center"/>
    </x:xf>
    <x:xf numFmtId="200" fontId="0" fillId="30" borderId="1" xfId="0" applyNumberFormat="1" applyFont="1" applyFill="1" applyBorder="1" applyAlignment="1">
      <x:alignment horizontal="center"/>
    </x:xf>
    <x:xf numFmtId="200" fontId="0" fillId="30" borderId="6" xfId="0" applyNumberFormat="1" applyFont="1" applyFill="1" applyBorder="1" applyAlignment="1">
      <x:alignment horizontal="center"/>
    </x:xf>
    <x:xf numFmtId="200" fontId="0" fillId="30" borderId="8" xfId="0" applyNumberFormat="1" applyFont="1" applyFill="1" applyBorder="1" applyAlignment="1">
      <x:alignment horizontal="center"/>
    </x:xf>
    <x:xf numFmtId="200" fontId="0" fillId="30" borderId="9" xfId="0" applyNumberFormat="1" applyFont="1" applyFill="1" applyBorder="1" applyAlignment="1">
      <x:alignment horizontal="center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0" fillId="32" borderId="1" xfId="0" applyNumberFormat="1" applyFont="1" applyFill="1" applyBorder="1"/>
    <x:xf numFmtId="0" fontId="0" fillId="32" borderId="1" xfId="0" applyNumberFormat="1" applyFont="1" applyFill="1" applyBorder="1" applyAlignment="1">
      <x:alignment horizontal="center"/>
    </x:xf>
    <x:xf numFmtId="201" fontId="0" fillId="32" borderId="1" xfId="0" applyNumberFormat="1" applyFont="1" applyFill="1" applyBorder="1" applyAlignment="1">
      <x:alignment horizontal="center"/>
    </x:xf>
    <x:xf numFmtId="202" fontId="0" fillId="32" borderId="1" xfId="0" applyNumberFormat="1" applyFont="1" applyFill="1" applyBorder="1" applyAlignment="1">
      <x:alignment horizontal="center"/>
    </x:xf>
    <x:xf numFmtId="0" fontId="3" fillId="31" borderId="1" xfId="0" applyNumberFormat="1" applyFont="1" applyFill="1" applyBorder="1" applyAlignment="1">
      <x:alignment wrapText="1"/>
    </x:xf>
    <x:xf numFmtId="0" fontId="0" fillId="33" borderId="1" xfId="0" applyNumberFormat="1" applyFont="1" applyFill="1" applyBorder="1"/>
    <x:xf numFmtId="0" fontId="4" fillId="33" borderId="1" xfId="0" applyNumberFormat="1" applyFont="1" applyFill="1" applyBorder="1"/>
    <x:xf numFmtId="0" fontId="4" fillId="33" borderId="1" xfId="0" applyNumberFormat="1" applyFont="1" applyFill="1" applyBorder="1" applyAlignment="1">
      <x:alignment horizontal="center"/>
    </x:xf>
    <x:xf numFmtId="0" fontId="0" fillId="34" borderId="1" xfId="0" applyNumberFormat="1" applyFont="1" applyFill="1" applyBorder="1"/>
    <x:xf numFmtId="0" fontId="5" fillId="34" borderId="1" xfId="0" applyNumberFormat="1" applyFont="1" applyFill="1" applyBorder="1"/>
    <x:xf numFmtId="0" fontId="5" fillId="34" borderId="1" xfId="0" applyNumberFormat="1" applyFont="1" applyFill="1" applyBorder="1" applyAlignment="1">
      <x:alignment horizontal="center"/>
    </x:xf>
    <x:xf numFmtId="0" fontId="0" fillId="35" borderId="1" xfId="0" applyNumberFormat="1" applyFont="1" applyFill="1" applyBorder="1"/>
    <x:xf numFmtId="0" fontId="6" fillId="35" borderId="1" xfId="0" applyNumberFormat="1" applyFont="1" applyFill="1" applyBorder="1"/>
    <x:xf numFmtId="0" fontId="6" fillId="35" borderId="1" xfId="0" applyNumberFormat="1" applyFont="1" applyFill="1" applyBorder="1" applyAlignment="1">
      <x:alignment horizontal="center"/>
    </x:xf>
    <x:xf numFmtId="0" fontId="7" fillId="30" borderId="1" xfId="0" applyNumberFormat="1" applyFont="1" applyFill="1" applyBorder="1"/>
    <x:xf numFmtId="0" fontId="7" fillId="30" borderId="1" xfId="0" applyNumberFormat="1" applyFont="1" applyFill="1" applyBorder="1" applyAlignment="1">
      <x:alignment horizontal="center"/>
    </x:xf>
    <x:xf numFmtId="0" fontId="1" fillId="29" borderId="0" xfId="0" applyNumberFormat="1" applyFont="1" applyFill="1" applyBorder="1" applyAlignment="1">
      <x:alignment horizontal="center"/>
    </x:xf>
    <x:xf numFmtId="0" fontId="0" fillId="36" borderId="0" xfId="0" applyNumberFormat="1" applyFont="1" applyFill="1" applyBorder="1"/>
    <x:xf numFmtId="0" fontId="8" fillId="36" borderId="0" xfId="0" applyNumberFormat="1" applyFont="1" applyFill="1" applyBorder="1"/>
    <x:xf numFmtId="0" fontId="8" fillId="36" borderId="9" xfId="0" applyNumberFormat="1" applyFont="1" applyFill="1" applyBorder="1"/>
    <x:xf numFmtId="0" fontId="8" fillId="36" borderId="10" xfId="0" applyNumberFormat="1" applyFont="1" applyFill="1" applyBorder="1"/>
    <x:xf numFmtId="0" fontId="8" fillId="36" borderId="7" xfId="0" applyNumberFormat="1" applyFont="1" applyFill="1" applyBorder="1"/>
    <x:xf numFmtId="0" fontId="8" fillId="36" borderId="11" xfId="0" applyNumberFormat="1" applyFont="1" applyFill="1" applyBorder="1"/>
    <x:xf numFmtId="0" fontId="8" fillId="36" xfId="0" applyNumberFormat="1" applyFont="1" applyFill="1" applyBorder="0"/>
    <x:xf numFmtId="0" fontId="8" fillId="36" borderId="12" xfId="0" applyNumberFormat="1" applyFont="1" applyFill="1" applyBorder="1"/>
    <x:xf numFmtId="0" fontId="8" fillId="36" borderId="4" xfId="0" applyNumberFormat="1" applyFont="1" applyFill="1" applyBorder="1"/>
    <x:xf numFmtId="0" fontId="8" fillId="36" borderId="13" xfId="0" applyNumberFormat="1" applyFont="1" applyFill="1" applyBorder="1"/>
    <x:xf numFmtId="0" fontId="8" fillId="36" borderId="2" xfId="0" applyNumberFormat="1" applyFont="1" applyFill="1" applyBorder="1"/>
    <x:xf numFmtId="0" fontId="8" fillId="36" borderId="9" xfId="0" applyNumberFormat="1" applyFont="1" applyFill="1" applyBorder="1" applyAlignment="1">
      <x:alignment wrapText="1"/>
    </x:xf>
    <x:xf numFmtId="0" fontId="8" fillId="36" borderId="10" xfId="0" applyNumberFormat="1" applyFont="1" applyFill="1" applyBorder="1" applyAlignment="1">
      <x:alignment wrapText="1"/>
    </x:xf>
    <x:xf numFmtId="0" fontId="8" fillId="36" borderId="7" xfId="0" applyNumberFormat="1" applyFont="1" applyFill="1" applyBorder="1" applyAlignment="1">
      <x:alignment wrapText="1"/>
    </x:xf>
    <x:xf numFmtId="0" fontId="8" fillId="36" borderId="11" xfId="0" applyNumberFormat="1" applyFont="1" applyFill="1" applyBorder="1" applyAlignment="1">
      <x:alignment wrapText="1"/>
    </x:xf>
    <x:xf numFmtId="0" fontId="8" fillId="36" xfId="0" applyNumberFormat="1" applyFont="1" applyFill="1" applyBorder="0" applyAlignment="1">
      <x:alignment wrapText="1"/>
    </x:xf>
    <x:xf numFmtId="0" fontId="8" fillId="36" borderId="12" xfId="0" applyNumberFormat="1" applyFont="1" applyFill="1" applyBorder="1" applyAlignment="1">
      <x:alignment wrapText="1"/>
    </x:xf>
    <x:xf numFmtId="0" fontId="8" fillId="36" borderId="4" xfId="0" applyNumberFormat="1" applyFont="1" applyFill="1" applyBorder="1" applyAlignment="1">
      <x:alignment wrapText="1"/>
    </x:xf>
    <x:xf numFmtId="0" fontId="8" fillId="36" borderId="13" xfId="0" applyNumberFormat="1" applyFont="1" applyFill="1" applyBorder="1" applyAlignment="1">
      <x:alignment wrapText="1"/>
    </x:xf>
    <x:xf numFmtId="0" fontId="8" fillId="36" borderId="2" xfId="0" applyNumberFormat="1" applyFont="1" applyFill="1" applyBorder="1" applyAlignment="1">
      <x:alignment wrapText="1"/>
    </x:xf>
    <x:xf numFmtId="0" fontId="8" fillId="36" borderId="9" xfId="0" applyNumberFormat="1" applyFont="1" applyFill="1" applyBorder="1" applyAlignment="1">
      <x:alignment vertical="top" wrapText="1"/>
    </x:xf>
    <x:xf numFmtId="0" fontId="8" fillId="36" borderId="10" xfId="0" applyNumberFormat="1" applyFont="1" applyFill="1" applyBorder="1" applyAlignment="1">
      <x:alignment vertical="top" wrapText="1"/>
    </x:xf>
    <x:xf numFmtId="0" fontId="8" fillId="36" borderId="7" xfId="0" applyNumberFormat="1" applyFont="1" applyFill="1" applyBorder="1" applyAlignment="1">
      <x:alignment vertical="top" wrapText="1"/>
    </x:xf>
    <x:xf numFmtId="0" fontId="8" fillId="36" borderId="11" xfId="0" applyNumberFormat="1" applyFont="1" applyFill="1" applyBorder="1" applyAlignment="1">
      <x:alignment vertical="top" wrapText="1"/>
    </x:xf>
    <x:xf numFmtId="0" fontId="8" fillId="36" xfId="0" applyNumberFormat="1" applyFont="1" applyFill="1" applyBorder="0" applyAlignment="1">
      <x:alignment vertical="top" wrapText="1"/>
    </x:xf>
    <x:xf numFmtId="0" fontId="8" fillId="36" borderId="12" xfId="0" applyNumberFormat="1" applyFont="1" applyFill="1" applyBorder="1" applyAlignment="1">
      <x:alignment vertical="top" wrapText="1"/>
    </x:xf>
    <x:xf numFmtId="0" fontId="8" fillId="36" borderId="4" xfId="0" applyNumberFormat="1" applyFont="1" applyFill="1" applyBorder="1" applyAlignment="1">
      <x:alignment vertical="top" wrapText="1"/>
    </x:xf>
    <x:xf numFmtId="0" fontId="8" fillId="36" borderId="13" xfId="0" applyNumberFormat="1" applyFont="1" applyFill="1" applyBorder="1" applyAlignment="1">
      <x:alignment vertical="top" wrapText="1"/>
    </x:xf>
    <x:xf numFmtId="0" fontId="8" fillId="36" borderId="2" xfId="0" applyNumberFormat="1" applyFont="1" applyFill="1" applyBorder="1" applyAlignment="1">
      <x:alignment vertical="top" wrapText="1"/>
    </x:xf>
    <x:xf numFmtId="0" fontId="0" fillId="37" borderId="0" xfId="0" applyNumberFormat="1" applyFont="1" applyFill="1" applyBorder="1"/>
    <x:xf numFmtId="0" fontId="9" fillId="37" borderId="0" xfId="0" applyNumberFormat="1" applyFont="1" applyFill="1" applyBorder="1"/>
    <x:xf numFmtId="0" fontId="9" fillId="37" borderId="0" xfId="0" applyNumberFormat="1" applyFont="1" applyFill="1" applyBorder="1" applyAlignment="1">
      <x:alignment wrapText="1"/>
    </x:xf>
    <x:xf numFmtId="0" fontId="9" fillId="37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/>
    <x:xf numFmtId="0" fontId="12" fillId="38" borderId="0" xfId="0" applyNumberFormat="1" applyFont="1" applyFill="1" applyBorder="1"/>
    <x:xf numFmtId="0" fontId="12" fillId="38" borderId="0" xfId="0" applyNumberFormat="1" applyFont="1" applyFill="1" applyBorder="1" applyAlignment="1">
      <x:alignment horizontal="center"/>
    </x:xf>
    <x:xf numFmtId="0" fontId="12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13" fillId="39" borderId="0" xfId="0" applyNumberFormat="1" applyFont="1" applyFill="1" applyBorder="1"/>
    <x:xf numFmtId="0" fontId="13" fillId="39" borderId="0" xfId="0" applyNumberFormat="1" applyFont="1" applyFill="1" applyBorder="1" applyAlignment="1">
      <x:alignment horizontal="center"/>
    </x:xf>
    <x:xf numFmtId="0" fontId="0" fillId="40" borderId="0" xfId="0" applyNumberFormat="1" applyFont="1" applyFill="1" applyBorder="1"/>
    <x:xf numFmtId="0" fontId="1" fillId="40" borderId="0" xfId="0" applyNumberFormat="1" applyFont="1" applyFill="1" applyBorder="1"/>
    <x:xf numFmtId="0" fontId="1" fillId="40" borderId="0" xfId="0" applyNumberFormat="1" applyFont="1" applyFill="1" applyBorder="1" applyAlignment="1">
      <x:alignment horizontal="center"/>
    </x:xf>
    <x:xf numFmtId="0" fontId="1" fillId="40" borderId="0" xfId="0" applyNumberFormat="1" applyFont="1" applyFill="1" applyBorder="1" applyAlignment="1">
      <x:alignment horizontal="center" vertical="center"/>
    </x:xf>
    <x:xf numFmtId="0" fontId="1" fillId="40" borderId="0" xfId="0" applyNumberFormat="1" applyFont="1" applyFill="1" applyBorder="1" applyAlignment="1">
      <x:alignment horizontal="center" vertical="center" wrapText="1"/>
    </x:xf>
    <x:xf numFmtId="0" fontId="1" fillId="40" borderId="15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5" xfId="0" applyNumberFormat="1" applyFont="1" applyFill="1" applyBorder="1" applyAlignment="1">
      <x:alignment vertical="center"/>
    </x:xf>
    <x:xf numFmtId="0" fontId="0" fillId="41" borderId="15" xfId="0" applyNumberFormat="1" applyFont="1" applyFill="1" applyBorder="1" applyAlignment="1">
      <x:alignment vertical="center"/>
    </x:xf>
    <x:xf numFmtId="0" fontId="14" fillId="41" borderId="15" xfId="0" applyNumberFormat="1" applyFont="1" applyFill="1" applyBorder="1" applyAlignment="1">
      <x:alignment vertical="center"/>
    </x:xf>
    <x:xf numFmtId="0" fontId="14" fillId="0" borderId="15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42" borderId="15" xfId="0" applyNumberFormat="1" applyFont="1" applyFill="1" applyBorder="1" applyAlignment="1">
      <x:alignment horizontal="center" vertical="center"/>
    </x:xf>
    <x:xf numFmtId="200" fontId="0" fillId="39" borderId="15" xfId="0" applyNumberFormat="1" applyFont="1" applyFill="1" applyBorder="1" applyAlignment="1">
      <x:alignment horizontal="center" vertical="center"/>
    </x:xf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horizontal="center"/>
    </x:xf>
    <x:xf numFmtId="0" fontId="0" fillId="42" borderId="15" xfId="0" applyNumberFormat="1" applyFont="1" applyFill="1" applyBorder="1" applyAlignment="1">
      <x:alignment vertical="center"/>
    </x:xf>
    <x:xf numFmtId="0" fontId="0" fillId="42" borderId="15" xfId="0" applyNumberFormat="1" applyFont="1" applyFill="1" applyBorder="1" applyAlignment="1">
      <x:alignment horizontal="center" vertical="center"/>
    </x:xf>
    <x:xf numFmtId="0" fontId="15" fillId="0" borderId="0" xfId="0" applyNumberFormat="1" applyFont="1" applyFill="1" applyBorder="1"/>
    <x:xf numFmtId="0" fontId="15" fillId="43" borderId="0" xfId="0" applyNumberFormat="1" applyFont="1" applyFill="1" applyBorder="1"/>
    <x:xf numFmtId="0" fontId="15" fillId="42" borderId="0" xfId="0" applyNumberFormat="1" applyFont="1" applyFill="1" applyBorder="1"/>
    <x:xf numFmtId="0" fontId="15" fillId="44" borderId="0" xfId="0" applyNumberFormat="1" applyFont="1" applyFill="1" applyBorder="1"/>
    <x:xf numFmtId="0" fontId="15" fillId="45" borderId="0" xfId="0" applyNumberFormat="1" applyFont="1" applyFill="1" applyBorder="1"/>
    <x:xf numFmtId="0" fontId="15" fillId="43" borderId="15" xfId="0" applyNumberFormat="1" applyFont="1" applyFill="1" applyBorder="1"/>
    <x:xf numFmtId="0" fontId="15" fillId="42" borderId="15" xfId="0" applyNumberFormat="1" applyFont="1" applyFill="1" applyBorder="1"/>
    <x:xf numFmtId="0" fontId="15" fillId="44" borderId="15" xfId="0" applyNumberFormat="1" applyFont="1" applyFill="1" applyBorder="1"/>
    <x:xf numFmtId="0" fontId="15" fillId="45" borderId="15" xfId="0" applyNumberFormat="1" applyFont="1" applyFill="1" applyBorder="1"/>
    <x:xf numFmtId="0" fontId="15" fillId="43" borderId="15" xfId="0" applyNumberFormat="1" applyFont="1" applyFill="1" applyBorder="1" applyAlignment="1">
      <x:alignment vertical="center"/>
    </x:xf>
    <x:xf numFmtId="0" fontId="15" fillId="42" borderId="15" xfId="0" applyNumberFormat="1" applyFont="1" applyFill="1" applyBorder="1" applyAlignment="1">
      <x:alignment vertical="center"/>
    </x:xf>
    <x:xf numFmtId="0" fontId="15" fillId="44" borderId="15" xfId="0" applyNumberFormat="1" applyFont="1" applyFill="1" applyBorder="1" applyAlignment="1">
      <x:alignment vertical="center"/>
    </x:xf>
    <x:xf numFmtId="0" fontId="15" fillId="45" borderId="15" xfId="0" applyNumberFormat="1" applyFont="1" applyFill="1" applyBorder="1" applyAlignment="1">
      <x:alignment vertical="center"/>
    </x:xf>
    <x:xf numFmtId="0" fontId="0" fillId="46" borderId="0" xfId="0" applyNumberFormat="1" applyFont="1" applyFill="1" applyBorder="1"/>
    <x:xf numFmtId="0" fontId="16" fillId="46" borderId="0" xfId="0" applyNumberFormat="1" applyFont="1" applyFill="1" applyBorder="1"/>
    <x:xf numFmtId="0" fontId="16" fillId="46" borderId="0" xfId="0" applyNumberFormat="1" applyFont="1" applyFill="1" applyBorder="1" applyAlignment="1">
      <x:alignment wrapText="1"/>
    </x:xf>
    <x:xf numFmtId="0" fontId="17" fillId="38" borderId="0" xfId="0" applyNumberFormat="1" applyFont="1" applyFill="1" applyBorder="1"/>
    <x:xf numFmtId="0" fontId="17" fillId="38" borderId="0" xfId="0" applyNumberFormat="1" applyFont="1" applyFill="1" applyBorder="1" applyAlignment="1">
      <x:alignment horizontal="center"/>
    </x:xf>
    <x:xf numFmtId="0" fontId="0" fillId="42" borderId="0" xfId="0" applyNumberFormat="1" applyFont="1" applyFill="1" applyBorder="1"/>
    <x:xf numFmtId="0" fontId="0" fillId="42" borderId="15" xfId="0" applyNumberFormat="1" applyFont="1" applyFill="1" applyBorder="1"/>
    <x:xf numFmtId="200" fontId="0" fillId="0" borderId="15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87"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595959"/>
      </x:font>
      <x:fill>
        <x:patternFill>
          <x:bgColor rgb="FFFFFFFF"/>
        </x:patternFill>
      </x:fill>
    </x:dxf>
    <x:dxf>
      <x:font>
        <x:color rgb="FF243746"/>
      </x:font>
      <x:fill>
        <x:patternFill patternType="solid">
          <x:bgColor rgb="FFFFFFFF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80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243746"/>
      </x:font>
      <x:fill>
        <x:patternFill patternType="solid">
          <x:bgColor rgb="FFFFFFFF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80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243746"/>
      </x:font>
      <x:fill>
        <x:patternFill patternType="solid">
          <x:bgColor rgb="FFFFFFFF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80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243746"/>
      </x:font>
      <x:fill>
        <x:patternFill patternType="solid">
          <x:bgColor rgb="FFFFFFFF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80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80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666666"/>
      </x:font>
      <x:fill>
        <x:patternFill patternType="solid"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d4fdc60bb486d" /><Relationship Type="http://schemas.openxmlformats.org/officeDocument/2006/relationships/theme" Target="/xl/theme/theme1.xml" Id="Rb05f2335a317459c" /><Relationship Type="http://schemas.openxmlformats.org/officeDocument/2006/relationships/sharedStrings" Target="/xl/sharedStrings.xml" Id="R040f1f46f93145a0" /><Relationship Type="http://schemas.openxmlformats.org/officeDocument/2006/relationships/worksheet" Target="/xl/worksheets/sheet1.xml" Id="R10fef1f0dc994aa9" /><Relationship Type="http://schemas.openxmlformats.org/officeDocument/2006/relationships/worksheet" Target="/xl/worksheets/sheet2.xml" Id="Rffa8f7f9d20940eb" /></Relationships>
</file>

<file path=xl/tables/table1.xml><?xml version="1.0" encoding="utf-8"?>
<x:table xmlns:x="http://schemas.openxmlformats.org/spreadsheetml/2006/main" id="1" name="MasterComplianceSchedule" displayName="MasterComplianceSchedule" ref="A15:G155" headerRowCount="1" totalsRowCount="0" totalsRowShown="0">
  <x:tableColumns count="7">
    <x:tableColumn id="1" name="Client"/>
    <x:tableColumn id="2" name="Content Item"/>
    <x:tableColumn id="3" name="Last Completed"/>
    <x:tableColumn id="4" name="Frequency (Months)"/>
    <x:tableColumn id="5" name="Next Due"/>
    <x:tableColumn id="6" name="Days Remaining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164ae905fc44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219999313354492" hidden="0" customWidth="1"/>
    <x:col min="2" max="2" width="13.329999923706055" hidden="0" customWidth="1"/>
    <x:col min="3" max="3" width="13.32999992370605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27.219999313354492" hidden="0" customWidth="1"/>
    <x:col min="11" max="11" width="2" hidden="0" customWidth="1"/>
    <x:col min="12" max="12" width="20.559999465942383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25.5" customHeight="1">
      <x:c r="A1" s="360" t="str">
        <x:v>NERC CIP Compliance Client Overview</x:v>
      </x:c>
      <x:c r="B1" s="360"/>
      <x:c r="C1" s="360"/>
      <x:c r="D1" s="360"/>
      <x:c r="E1" s="360"/>
      <x:c r="F1" s="360"/>
      <x:c r="G1" s="360"/>
      <x:c r="H1" s="360"/>
      <x:c r="I1" s="360"/>
      <x:c r="J1" s="360"/>
    </x:row>
    <x:row r="2" ht="32" customHeight="1">
      <x:c r="A2" s="363" t="str">
        <x:f>"Enter the most recent completion date for each client. Due dates calculate automatically as of "&amp;TEXT(TODAY(),"mmmm d, yyyy")&amp;"."</x:f>
        <x:v>Enter the most recent completion date for each client. Due dates calculate automatically as of September 16, 2026.</x:v>
      </x:c>
      <x:c r="B2" s="363"/>
      <x:c r="C2" s="363"/>
      <x:c r="D2" s="363"/>
      <x:c r="E2" s="363"/>
      <x:c r="F2" s="363"/>
      <x:c r="G2" s="363"/>
      <x:c r="H2" s="363"/>
      <x:c r="I2" s="363"/>
      <x:c r="J2" s="363"/>
      <x:c r="K2"/>
      <x:c r="L2" s="381" t="str">
        <x:v>Editable Timing Settings</x:v>
      </x:c>
      <x:c r="M2" s="381"/>
      <x:c r="N2" s="381"/>
      <x:c r="O2" s="381"/>
    </x:row>
    <x:row r="3" ht="40" customHeight="1">
      <x:c r="H3"/>
      <x:c r="I3"/>
      <x:c r="J3"/>
      <x:c r="K3"/>
      <x:c r="L3" s="363" t="str">
        <x:v>Change recurrence and warning windows here. Decimal months are allowed for alerts.</x:v>
      </x:c>
      <x:c r="M3" s="363"/>
      <x:c r="N3" s="363"/>
      <x:c r="O3" s="363"/>
    </x:row>
    <x:row r="4" ht="38" customHeight="1">
      <x:c r="H4"/>
      <x:c r="I4"/>
      <x:c r="J4"/>
      <x:c r="K4"/>
      <x:c r="L4" s="369" t="str">
        <x:v>Content Item</x:v>
      </x:c>
      <x:c r="M4" s="369" t="str">
        <x:v>Frequency
(Months)</x:v>
      </x:c>
      <x:c r="N4" s="369" t="str">
        <x:v>Yellow Within
(Months)</x:v>
      </x:c>
      <x:c r="O4" s="369" t="str">
        <x:v>Red Within
(Months)</x:v>
      </x:c>
    </x:row>
    <x:row r="5" ht="31.5" customHeight="1">
      <x:c r="A5" s="369" t="str">
        <x:v>Client Name</x:v>
      </x:c>
      <x:c r="B5" s="369" t="str">
        <x:v>Annual Review
Completed</x:v>
      </x:c>
      <x:c r="C5" s="369" t="str">
        <x:v>Annual Review
Due</x:v>
      </x:c>
      <x:c r="D5" s="369" t="str">
        <x:v>CSIRP Tabletop
Completed</x:v>
      </x:c>
      <x:c r="E5" s="369" t="str">
        <x:v>CSIRP Tabletop
Due</x:v>
      </x:c>
      <x:c r="F5" s="369" t="str">
        <x:v>Evidence Review
Completed</x:v>
      </x:c>
      <x:c r="G5" s="369" t="str">
        <x:v>Evidence Review
Due</x:v>
      </x:c>
      <x:c r="H5" s="369" t="str">
        <x:v>CIP Monthly Questions
Completed</x:v>
      </x:c>
      <x:c r="I5" s="369" t="str">
        <x:v>CIP Monthly Questions
Due</x:v>
      </x:c>
      <x:c r="J5" s="369" t="str">
        <x:v>Notes / Important Dates</x:v>
      </x:c>
      <x:c r="K5"/>
      <x:c r="L5" s="371" t="str">
        <x:v>Annual Review</x:v>
      </x:c>
      <x:c r="M5" s="383" t="n">
        <x:v>15</x:v>
      </x:c>
      <x:c r="N5" s="383" t="n">
        <x:v>3</x:v>
      </x:c>
      <x:c r="O5" s="383" t="n">
        <x:v>1</x:v>
      </x:c>
    </x:row>
    <x:row r="6" ht="24" customHeight="1">
      <x:c r="A6" s="373" t="str">
        <x:v>Company X</x:v>
      </x:c>
      <x:c r="B6" s="378" t="n">
        <x:v>46037</x:v>
      </x:c>
      <x:c r="C6" s="379" t="n">
        <x:f>IF(B6="","",EDATE(B6,$M$5))</x:f>
        <x:v>46492</x:v>
      </x:c>
      <x:c r="D6" s="378" t="n">
        <x:v>45189</x:v>
      </x:c>
      <x:c r="E6" s="379" t="n">
        <x:f>IF(D6="","",EDATE(D6,$M$6))</x:f>
        <x:v>46285</x:v>
      </x:c>
      <x:c r="F6" s="378" t="n">
        <x:v>46174</x:v>
      </x:c>
      <x:c r="G6" s="379" t="n">
        <x:f>IF(F6="","",EDATE(F6,$M$7))</x:f>
        <x:v>46539</x:v>
      </x:c>
      <x:c r="H6" s="378"/>
      <x:c r="I6" s="379" t="str">
        <x:f>IF(H6="","",EDATE(H6,$M$8))</x:f>
      </x:c>
      <x:c r="J6" s="376"/>
      <x:c r="K6"/>
      <x:c r="L6" s="371" t="str">
        <x:v>CSIRP Tabletop Completion</x:v>
      </x:c>
      <x:c r="M6" s="383" t="n">
        <x:v>36</x:v>
      </x:c>
      <x:c r="N6" s="383" t="n">
        <x:v>6</x:v>
      </x:c>
      <x:c r="O6" s="383" t="n">
        <x:v>3</x:v>
      </x:c>
    </x:row>
    <x:row r="7" ht="24" customHeight="1">
      <x:c r="A7" s="374" t="str">
        <x:v>Company Y</x:v>
      </x:c>
      <x:c r="B7" s="378" t="n">
        <x:v>46037</x:v>
      </x:c>
      <x:c r="C7" s="379" t="n">
        <x:f>IF(B7="","",EDATE(B7,$M$5))</x:f>
        <x:v>46492</x:v>
      </x:c>
      <x:c r="D7" s="378" t="n">
        <x:v>45214</x:v>
      </x:c>
      <x:c r="E7" s="379" t="n">
        <x:f>IF(D7="","",EDATE(D7,$M$6))</x:f>
        <x:v>46310</x:v>
      </x:c>
      <x:c r="F7" s="378" t="n">
        <x:v>46174</x:v>
      </x:c>
      <x:c r="G7" s="379" t="n">
        <x:f>IF(F7="","",EDATE(F7,$M$7))</x:f>
        <x:v>46539</x:v>
      </x:c>
      <x:c r="H7" s="378"/>
      <x:c r="I7" s="379" t="str">
        <x:f>IF(H7="","",EDATE(H7,$M$8))</x:f>
      </x:c>
      <x:c r="J7" s="376"/>
      <x:c r="K7"/>
      <x:c r="L7" s="371" t="str">
        <x:v>Evidence Review</x:v>
      </x:c>
      <x:c r="M7" s="383" t="n">
        <x:v>12</x:v>
      </x:c>
      <x:c r="N7" s="383" t="n">
        <x:v>3</x:v>
      </x:c>
      <x:c r="O7" s="383" t="n">
        <x:v>1</x:v>
      </x:c>
    </x:row>
    <x:row r="8" ht="24" customHeight="1">
      <x:c r="A8" s="373" t="str">
        <x:v>Company Z</x:v>
      </x:c>
      <x:c r="B8" s="378" t="n">
        <x:v>46037</x:v>
      </x:c>
      <x:c r="C8" s="379" t="n">
        <x:f>IF(B8="","",EDATE(B8,$M$5))</x:f>
        <x:v>46492</x:v>
      </x:c>
      <x:c r="D8" s="378" t="n">
        <x:v>45214</x:v>
      </x:c>
      <x:c r="E8" s="379" t="n">
        <x:f>IF(D8="","",EDATE(D8,$M$6))</x:f>
        <x:v>46310</x:v>
      </x:c>
      <x:c r="F8" s="378" t="n">
        <x:v>46174</x:v>
      </x:c>
      <x:c r="G8" s="379" t="n">
        <x:f>IF(F8="","",EDATE(F8,$M$7))</x:f>
        <x:v>46539</x:v>
      </x:c>
      <x:c r="H8" s="378"/>
      <x:c r="I8" s="379" t="str">
        <x:f>IF(H8="","",EDATE(H8,$M$8))</x:f>
      </x:c>
      <x:c r="J8" s="376"/>
      <x:c r="K8"/>
      <x:c r="L8" s="371" t="str">
        <x:v>CIP Monthly Questions</x:v>
      </x:c>
      <x:c r="M8" s="383" t="n">
        <x:v>1</x:v>
      </x:c>
      <x:c r="N8" s="383" t="n">
        <x:v>0.5</x:v>
      </x:c>
      <x:c r="O8" s="383" t="n">
        <x:v>0.25</x:v>
      </x:c>
    </x:row>
    <x:row r="9" ht="24" customHeight="1">
      <x:c r="A9" s="374" t="str">
        <x:v>Organization 4</x:v>
      </x:c>
      <x:c r="B9" s="378" t="n">
        <x:v>46037</x:v>
      </x:c>
      <x:c r="C9" s="379" t="n">
        <x:f>IF(B9="","",EDATE(B9,$M$5))</x:f>
        <x:v>46492</x:v>
      </x:c>
      <x:c r="D9" s="378" t="n">
        <x:v>45214</x:v>
      </x:c>
      <x:c r="E9" s="379" t="n">
        <x:f>IF(D9="","",EDATE(D9,$M$6))</x:f>
        <x:v>46310</x:v>
      </x:c>
      <x:c r="F9" s="378" t="n">
        <x:v>46174</x:v>
      </x:c>
      <x:c r="G9" s="379" t="n">
        <x:f>IF(F9="","",EDATE(F9,$M$7))</x:f>
        <x:v>46539</x:v>
      </x:c>
      <x:c r="H9" s="378"/>
      <x:c r="I9" s="379" t="str">
        <x:f>IF(H9="","",EDATE(H9,$M$8))</x:f>
      </x:c>
      <x:c r="J9" s="376"/>
      <x:c r="K9"/>
    </x:row>
    <x:row r="10" ht="24" customHeight="1">
      <x:c r="A10" s="373" t="str">
        <x:v>Organization 5</x:v>
      </x:c>
      <x:c r="B10" s="378" t="n">
        <x:v>46037</x:v>
      </x:c>
      <x:c r="C10" s="379" t="n">
        <x:f>IF(B10="","",EDATE(B10,$M$5))</x:f>
        <x:v>46492</x:v>
      </x:c>
      <x:c r="D10" s="378" t="n">
        <x:v>45214</x:v>
      </x:c>
      <x:c r="E10" s="379" t="n">
        <x:f>IF(D10="","",EDATE(D10,$M$6))</x:f>
        <x:v>46310</x:v>
      </x:c>
      <x:c r="F10" s="378" t="n">
        <x:v>46174</x:v>
      </x:c>
      <x:c r="G10" s="379" t="n">
        <x:f>IF(F10="","",EDATE(F10,$M$7))</x:f>
        <x:v>46539</x:v>
      </x:c>
      <x:c r="H10" s="378"/>
      <x:c r="I10" s="379" t="str">
        <x:f>IF(H10="","",EDATE(H10,$M$8))</x:f>
      </x:c>
      <x:c r="J10" s="376"/>
      <x:c r="K10"/>
      <x:c r="L10" s="381" t="str">
        <x:v>Color Key</x:v>
      </x:c>
      <x:c r="M10" s="381"/>
      <x:c r="N10" s="381"/>
      <x:c r="O10" s="381"/>
    </x:row>
    <x:row r="11" ht="22" customHeight="1">
      <x:c r="A11" s="374" t="str">
        <x:v>Organization 6</x:v>
      </x:c>
      <x:c r="B11" s="378" t="n">
        <x:v>46037</x:v>
      </x:c>
      <x:c r="C11" s="379" t="n">
        <x:f>IF(B11="","",EDATE(B11,$M$5))</x:f>
        <x:v>46492</x:v>
      </x:c>
      <x:c r="D11" s="378" t="n">
        <x:v>45214</x:v>
      </x:c>
      <x:c r="E11" s="379" t="n">
        <x:f>IF(D11="","",EDATE(D11,$M$6))</x:f>
        <x:v>46310</x:v>
      </x:c>
      <x:c r="F11" s="378" t="n">
        <x:v>46174</x:v>
      </x:c>
      <x:c r="G11" s="379" t="n">
        <x:f>IF(F11="","",EDATE(F11,$M$7))</x:f>
        <x:v>46539</x:v>
      </x:c>
      <x:c r="H11" s="378"/>
      <x:c r="I11" s="379" t="str">
        <x:f>IF(H11="","",EDATE(H11,$M$8))</x:f>
      </x:c>
      <x:c r="J11" s="376"/>
      <x:c r="K11"/>
      <x:c r="L11" s="393" t="str">
        <x:v>Green</x:v>
      </x:c>
      <x:c r="M11" s="371" t="str">
        <x:v>Due date is outside the yellow warning window</x:v>
      </x:c>
      <x:c r="N11" s="371"/>
      <x:c r="O11" s="371"/>
    </x:row>
    <x:row r="12" ht="22" customHeight="1">
      <x:c r="A12" s="373" t="str">
        <x:v>Organization 7</x:v>
      </x:c>
      <x:c r="B12" s="378" t="n">
        <x:v>46037</x:v>
      </x:c>
      <x:c r="C12" s="379" t="n">
        <x:f>IF(B12="","",EDATE(B12,$M$5))</x:f>
        <x:v>46492</x:v>
      </x:c>
      <x:c r="D12" s="378" t="n">
        <x:v>45214</x:v>
      </x:c>
      <x:c r="E12" s="379" t="n">
        <x:f>IF(D12="","",EDATE(D12,$M$6))</x:f>
        <x:v>46310</x:v>
      </x:c>
      <x:c r="F12" s="378" t="n">
        <x:v>46174</x:v>
      </x:c>
      <x:c r="G12" s="379" t="n">
        <x:f>IF(F12="","",EDATE(F12,$M$7))</x:f>
        <x:v>46539</x:v>
      </x:c>
      <x:c r="H12" s="378"/>
      <x:c r="I12" s="379" t="str">
        <x:f>IF(H12="","",EDATE(H12,$M$8))</x:f>
      </x:c>
      <x:c r="J12" s="376"/>
      <x:c r="K12"/>
      <x:c r="L12" s="394" t="str">
        <x:v>Yellow</x:v>
      </x:c>
      <x:c r="M12" s="371" t="str">
        <x:v>Due date is within the yellow warning window</x:v>
      </x:c>
      <x:c r="N12" s="371"/>
      <x:c r="O12" s="371"/>
    </x:row>
    <x:row r="13" ht="29" customHeight="1">
      <x:c r="A13" s="374" t="str">
        <x:v>Organization 8</x:v>
      </x:c>
      <x:c r="B13" s="378" t="n">
        <x:v>46037</x:v>
      </x:c>
      <x:c r="C13" s="379" t="n">
        <x:f>IF(B13="","",EDATE(B13,$M$5))</x:f>
        <x:v>46492</x:v>
      </x:c>
      <x:c r="D13" s="378" t="n">
        <x:v>45214</x:v>
      </x:c>
      <x:c r="E13" s="379" t="n">
        <x:f>IF(D13="","",EDATE(D13,$M$6))</x:f>
        <x:v>46310</x:v>
      </x:c>
      <x:c r="F13" s="378" t="n">
        <x:v>46174</x:v>
      </x:c>
      <x:c r="G13" s="379" t="n">
        <x:f>IF(F13="","",EDATE(F13,$M$7))</x:f>
        <x:v>46539</x:v>
      </x:c>
      <x:c r="H13" s="378"/>
      <x:c r="I13" s="379" t="str">
        <x:f>IF(H13="","",EDATE(H13,$M$8))</x:f>
      </x:c>
      <x:c r="J13" s="376"/>
      <x:c r="K13"/>
      <x:c r="L13" s="395" t="str">
        <x:v>Red</x:v>
      </x:c>
      <x:c r="M13" s="371" t="str">
        <x:v>Due date is within the red window or overdue</x:v>
      </x:c>
      <x:c r="N13" s="371"/>
      <x:c r="O13" s="371"/>
    </x:row>
    <x:row r="14" ht="29" customHeight="1">
      <x:c r="A14" s="373" t="str">
        <x:v>Organization 9</x:v>
      </x:c>
      <x:c r="B14" s="378" t="n">
        <x:v>46037</x:v>
      </x:c>
      <x:c r="C14" s="379" t="n">
        <x:f>IF(B14="","",EDATE(B14,$M$5))</x:f>
        <x:v>46492</x:v>
      </x:c>
      <x:c r="D14" s="378" t="n">
        <x:v>45214</x:v>
      </x:c>
      <x:c r="E14" s="379" t="n">
        <x:f>IF(D14="","",EDATE(D14,$M$6))</x:f>
        <x:v>46310</x:v>
      </x:c>
      <x:c r="F14" s="378" t="n">
        <x:v>46174</x:v>
      </x:c>
      <x:c r="G14" s="379" t="n">
        <x:f>IF(F14="","",EDATE(F14,$M$7))</x:f>
        <x:v>46539</x:v>
      </x:c>
      <x:c r="H14" s="378"/>
      <x:c r="I14" s="379" t="str">
        <x:f>IF(H14="","",EDATE(H14,$M$8))</x:f>
      </x:c>
      <x:c r="J14" s="376"/>
      <x:c r="K14"/>
      <x:c r="L14" s="396" t="str">
        <x:v>White</x:v>
      </x:c>
      <x:c r="M14" s="371" t="str">
        <x:v>No completion date entered</x:v>
      </x:c>
      <x:c r="N14" s="371"/>
      <x:c r="O14" s="371"/>
    </x:row>
    <x:row r="15" ht="29" customHeight="1">
      <x:c r="A15" s="374" t="str">
        <x:v>Organization 10</x:v>
      </x:c>
      <x:c r="B15" s="378" t="n">
        <x:v>46037</x:v>
      </x:c>
      <x:c r="C15" s="379" t="n">
        <x:f>IF(B15="","",EDATE(B15,$M$5))</x:f>
        <x:v>46492</x:v>
      </x:c>
      <x:c r="D15" s="378" t="n">
        <x:v>45214</x:v>
      </x:c>
      <x:c r="E15" s="379" t="n">
        <x:f>IF(D15="","",EDATE(D15,$M$6))</x:f>
        <x:v>46310</x:v>
      </x:c>
      <x:c r="F15" s="378" t="n">
        <x:v>46174</x:v>
      </x:c>
      <x:c r="G15" s="379" t="n">
        <x:f>IF(F15="","",EDATE(F15,$M$7))</x:f>
        <x:v>46539</x:v>
      </x:c>
      <x:c r="H15" s="378"/>
      <x:c r="I15" s="379" t="str">
        <x:f>IF(H15="","",EDATE(H15,$M$8))</x:f>
      </x:c>
      <x:c r="J15" s="376"/>
      <x:c r="K15"/>
    </x:row>
    <x:row r="16" ht="29" customHeight="1">
      <x:c r="A16" s="373" t="str">
        <x:v>Organization 11</x:v>
      </x:c>
      <x:c r="B16" s="378" t="n">
        <x:v>46037</x:v>
      </x:c>
      <x:c r="C16" s="379" t="n">
        <x:f>IF(B16="","",EDATE(B16,$M$5))</x:f>
        <x:v>46492</x:v>
      </x:c>
      <x:c r="D16" s="378" t="n">
        <x:v>45214</x:v>
      </x:c>
      <x:c r="E16" s="379" t="n">
        <x:f>IF(D16="","",EDATE(D16,$M$6))</x:f>
        <x:v>46310</x:v>
      </x:c>
      <x:c r="F16" s="378" t="n">
        <x:v>46174</x:v>
      </x:c>
      <x:c r="G16" s="379" t="n">
        <x:f>IF(F16="","",EDATE(F16,$M$7))</x:f>
        <x:v>46539</x:v>
      </x:c>
      <x:c r="H16" s="378"/>
      <x:c r="I16" s="379" t="str">
        <x:f>IF(H16="","",EDATE(H16,$M$8))</x:f>
      </x:c>
      <x:c r="J16" s="376"/>
      <x:c r="K16"/>
    </x:row>
    <x:row r="17" ht="22" customHeight="1">
      <x:c r="A17" s="374" t="str">
        <x:v>Organization 12</x:v>
      </x:c>
      <x:c r="B17" s="378" t="n">
        <x:v>46037</x:v>
      </x:c>
      <x:c r="C17" s="379" t="n">
        <x:f>IF(B17="","",EDATE(B17,$M$5))</x:f>
        <x:v>46492</x:v>
      </x:c>
      <x:c r="D17" s="378" t="n">
        <x:v>45214</x:v>
      </x:c>
      <x:c r="E17" s="379" t="n">
        <x:f>IF(D17="","",EDATE(D17,$M$6))</x:f>
        <x:v>46310</x:v>
      </x:c>
      <x:c r="F17" s="378" t="n">
        <x:v>46174</x:v>
      </x:c>
      <x:c r="G17" s="379" t="n">
        <x:f>IF(F17="","",EDATE(F17,$M$7))</x:f>
        <x:v>46539</x:v>
      </x:c>
      <x:c r="H17" s="378"/>
      <x:c r="I17" s="379" t="str">
        <x:f>IF(H17="","",EDATE(H17,$M$8))</x:f>
      </x:c>
      <x:c r="J17" s="376"/>
      <x:c r="K17"/>
    </x:row>
    <x:row r="18" ht="22" customHeight="1">
      <x:c r="A18" s="373" t="str">
        <x:v>Organization 13</x:v>
      </x:c>
      <x:c r="B18" s="378" t="n">
        <x:v>46037</x:v>
      </x:c>
      <x:c r="C18" s="379" t="n">
        <x:f>IF(B18="","",EDATE(B18,$M$5))</x:f>
        <x:v>46492</x:v>
      </x:c>
      <x:c r="D18" s="378" t="n">
        <x:v>45214</x:v>
      </x:c>
      <x:c r="E18" s="379" t="n">
        <x:f>IF(D18="","",EDATE(D18,$M$6))</x:f>
        <x:v>46310</x:v>
      </x:c>
      <x:c r="F18" s="378" t="n">
        <x:v>46174</x:v>
      </x:c>
      <x:c r="G18" s="379" t="n">
        <x:f>IF(F18="","",EDATE(F18,$M$7))</x:f>
        <x:v>46539</x:v>
      </x:c>
      <x:c r="H18" s="378"/>
      <x:c r="I18" s="379" t="str">
        <x:f>IF(H18="","",EDATE(H18,$M$8))</x:f>
      </x:c>
      <x:c r="J18" s="376"/>
      <x:c r="K18"/>
    </x:row>
    <x:row r="19" ht="22" customHeight="1">
      <x:c r="A19" s="374" t="str">
        <x:v>Organization 14</x:v>
      </x:c>
      <x:c r="B19" s="378" t="n">
        <x:v>46037</x:v>
      </x:c>
      <x:c r="C19" s="379" t="n">
        <x:f>IF(B19="","",EDATE(B19,$M$5))</x:f>
        <x:v>46492</x:v>
      </x:c>
      <x:c r="D19" s="378" t="n">
        <x:v>45214</x:v>
      </x:c>
      <x:c r="E19" s="379" t="n">
        <x:f>IF(D19="","",EDATE(D19,$M$6))</x:f>
        <x:v>46310</x:v>
      </x:c>
      <x:c r="F19" s="378" t="n">
        <x:v>46174</x:v>
      </x:c>
      <x:c r="G19" s="379" t="n">
        <x:f>IF(F19="","",EDATE(F19,$M$7))</x:f>
        <x:v>46539</x:v>
      </x:c>
      <x:c r="H19" s="378"/>
      <x:c r="I19" s="379" t="str">
        <x:f>IF(H19="","",EDATE(H19,$M$8))</x:f>
      </x:c>
      <x:c r="J19" s="376"/>
      <x:c r="K19"/>
    </x:row>
    <x:row r="20" ht="22" customHeight="1">
      <x:c r="A20" s="373" t="str">
        <x:v>Organization 15</x:v>
      </x:c>
      <x:c r="B20" s="378" t="n">
        <x:v>46037</x:v>
      </x:c>
      <x:c r="C20" s="379" t="n">
        <x:f>IF(B20="","",EDATE(B20,$M$5))</x:f>
        <x:v>46492</x:v>
      </x:c>
      <x:c r="D20" s="378" t="n">
        <x:v>45214</x:v>
      </x:c>
      <x:c r="E20" s="379" t="n">
        <x:f>IF(D20="","",EDATE(D20,$M$6))</x:f>
        <x:v>46310</x:v>
      </x:c>
      <x:c r="F20" s="378" t="n">
        <x:v>46174</x:v>
      </x:c>
      <x:c r="G20" s="379" t="n">
        <x:f>IF(F20="","",EDATE(F20,$M$7))</x:f>
        <x:v>46539</x:v>
      </x:c>
      <x:c r="H20" s="378"/>
      <x:c r="I20" s="379" t="str">
        <x:f>IF(H20="","",EDATE(H20,$M$8))</x:f>
      </x:c>
      <x:c r="J20" s="376"/>
      <x:c r="K20"/>
    </x:row>
    <x:row r="21" ht="22" customHeight="1">
      <x:c r="A21" s="374" t="str">
        <x:v>Organization 16</x:v>
      </x:c>
      <x:c r="B21" s="378" t="n">
        <x:v>46037</x:v>
      </x:c>
      <x:c r="C21" s="379" t="n">
        <x:f>IF(B21="","",EDATE(B21,$M$5))</x:f>
        <x:v>46492</x:v>
      </x:c>
      <x:c r="D21" s="378" t="n">
        <x:v>45214</x:v>
      </x:c>
      <x:c r="E21" s="379" t="n">
        <x:f>IF(D21="","",EDATE(D21,$M$6))</x:f>
        <x:v>46310</x:v>
      </x:c>
      <x:c r="F21" s="378" t="n">
        <x:v>46174</x:v>
      </x:c>
      <x:c r="G21" s="379" t="n">
        <x:f>IF(F21="","",EDATE(F21,$M$7))</x:f>
        <x:v>46539</x:v>
      </x:c>
      <x:c r="H21" s="378"/>
      <x:c r="I21" s="379" t="str">
        <x:f>IF(H21="","",EDATE(H21,$M$8))</x:f>
      </x:c>
      <x:c r="J21" s="376"/>
      <x:c r="K21"/>
    </x:row>
    <x:row r="22" ht="22" customHeight="1">
      <x:c r="A22" s="373" t="str">
        <x:v>Organization 17</x:v>
      </x:c>
      <x:c r="B22" s="378" t="n">
        <x:v>46037</x:v>
      </x:c>
      <x:c r="C22" s="379" t="n">
        <x:f>IF(B22="","",EDATE(B22,$M$5))</x:f>
        <x:v>46492</x:v>
      </x:c>
      <x:c r="D22" s="378" t="n">
        <x:v>45214</x:v>
      </x:c>
      <x:c r="E22" s="379" t="n">
        <x:f>IF(D22="","",EDATE(D22,$M$6))</x:f>
        <x:v>46310</x:v>
      </x:c>
      <x:c r="F22" s="378" t="n">
        <x:v>46174</x:v>
      </x:c>
      <x:c r="G22" s="379" t="n">
        <x:f>IF(F22="","",EDATE(F22,$M$7))</x:f>
        <x:v>46539</x:v>
      </x:c>
      <x:c r="H22" s="378"/>
      <x:c r="I22" s="379" t="str">
        <x:f>IF(H22="","",EDATE(H22,$M$8))</x:f>
      </x:c>
      <x:c r="J22" s="376"/>
    </x:row>
    <x:row r="23" ht="22" customHeight="1">
      <x:c r="A23" s="374" t="str">
        <x:v>Organization 18</x:v>
      </x:c>
      <x:c r="B23" s="378" t="n">
        <x:v>46037</x:v>
      </x:c>
      <x:c r="C23" s="379" t="n">
        <x:f>IF(B23="","",EDATE(B23,$M$5))</x:f>
        <x:v>46492</x:v>
      </x:c>
      <x:c r="D23" s="378" t="n">
        <x:v>45214</x:v>
      </x:c>
      <x:c r="E23" s="379" t="n">
        <x:f>IF(D23="","",EDATE(D23,$M$6))</x:f>
        <x:v>46310</x:v>
      </x:c>
      <x:c r="F23" s="378" t="n">
        <x:v>46174</x:v>
      </x:c>
      <x:c r="G23" s="379" t="n">
        <x:f>IF(F23="","",EDATE(F23,$M$7))</x:f>
        <x:v>46539</x:v>
      </x:c>
      <x:c r="H23" s="378"/>
      <x:c r="I23" s="379" t="str">
        <x:f>IF(H23="","",EDATE(H23,$M$8))</x:f>
      </x:c>
      <x:c r="J23" s="376"/>
    </x:row>
    <x:row r="24" ht="22" customHeight="1">
      <x:c r="A24" s="373" t="str">
        <x:v>Organization 19</x:v>
      </x:c>
      <x:c r="B24" s="378" t="n">
        <x:v>46037</x:v>
      </x:c>
      <x:c r="C24" s="379" t="n">
        <x:f>IF(B24="","",EDATE(B24,$M$5))</x:f>
        <x:v>46492</x:v>
      </x:c>
      <x:c r="D24" s="378" t="n">
        <x:v>45214</x:v>
      </x:c>
      <x:c r="E24" s="379" t="n">
        <x:f>IF(D24="","",EDATE(D24,$M$6))</x:f>
        <x:v>46310</x:v>
      </x:c>
      <x:c r="F24" s="378" t="n">
        <x:v>46174</x:v>
      </x:c>
      <x:c r="G24" s="379" t="n">
        <x:f>IF(F24="","",EDATE(F24,$M$7))</x:f>
        <x:v>46539</x:v>
      </x:c>
      <x:c r="H24" s="378"/>
      <x:c r="I24" s="379" t="str">
        <x:f>IF(H24="","",EDATE(H24,$M$8))</x:f>
      </x:c>
      <x:c r="J24" s="376"/>
    </x:row>
    <x:row r="25" ht="22" customHeight="1">
      <x:c r="A25" s="374" t="str">
        <x:v>Organization 20</x:v>
      </x:c>
      <x:c r="B25" s="378" t="n">
        <x:v>46037</x:v>
      </x:c>
      <x:c r="C25" s="379" t="n">
        <x:f>IF(B25="","",EDATE(B25,$M$5))</x:f>
        <x:v>46492</x:v>
      </x:c>
      <x:c r="D25" s="378" t="n">
        <x:v>45214</x:v>
      </x:c>
      <x:c r="E25" s="379" t="n">
        <x:f>IF(D25="","",EDATE(D25,$M$6))</x:f>
        <x:v>46310</x:v>
      </x:c>
      <x:c r="F25" s="378" t="n">
        <x:v>46174</x:v>
      </x:c>
      <x:c r="G25" s="379" t="n">
        <x:f>IF(F25="","",EDATE(F25,$M$7))</x:f>
        <x:v>46539</x:v>
      </x:c>
      <x:c r="H25" s="378"/>
      <x:c r="I25" s="379" t="str">
        <x:f>IF(H25="","",EDATE(H25,$M$8))</x:f>
      </x:c>
      <x:c r="J25" s="376"/>
    </x:row>
    <x:row r="26" ht="22" customHeight="1">
      <x:c r="A26" s="373" t="str">
        <x:v>Organization 21</x:v>
      </x:c>
      <x:c r="B26" s="378" t="n">
        <x:v>46037</x:v>
      </x:c>
      <x:c r="C26" s="379" t="n">
        <x:f>IF(B26="","",EDATE(B26,$M$5))</x:f>
        <x:v>46492</x:v>
      </x:c>
      <x:c r="D26" s="378" t="n">
        <x:v>45214</x:v>
      </x:c>
      <x:c r="E26" s="379" t="n">
        <x:f>IF(D26="","",EDATE(D26,$M$6))</x:f>
        <x:v>46310</x:v>
      </x:c>
      <x:c r="F26" s="378" t="n">
        <x:v>46174</x:v>
      </x:c>
      <x:c r="G26" s="379" t="n">
        <x:f>IF(F26="","",EDATE(F26,$M$7))</x:f>
        <x:v>46539</x:v>
      </x:c>
      <x:c r="H26" s="378"/>
      <x:c r="I26" s="379" t="str">
        <x:f>IF(H26="","",EDATE(H26,$M$8))</x:f>
      </x:c>
      <x:c r="J26" s="376"/>
    </x:row>
    <x:row r="27" ht="22" customHeight="1">
      <x:c r="A27" s="374" t="str">
        <x:v>Organization 22</x:v>
      </x:c>
      <x:c r="B27" s="378" t="n">
        <x:v>46037</x:v>
      </x:c>
      <x:c r="C27" s="379" t="n">
        <x:f>IF(B27="","",EDATE(B27,$M$5))</x:f>
        <x:v>46492</x:v>
      </x:c>
      <x:c r="D27" s="378" t="n">
        <x:v>45214</x:v>
      </x:c>
      <x:c r="E27" s="379" t="n">
        <x:f>IF(D27="","",EDATE(D27,$M$6))</x:f>
        <x:v>46310</x:v>
      </x:c>
      <x:c r="F27" s="378" t="n">
        <x:v>46174</x:v>
      </x:c>
      <x:c r="G27" s="379" t="n">
        <x:f>IF(F27="","",EDATE(F27,$M$7))</x:f>
        <x:v>46539</x:v>
      </x:c>
      <x:c r="H27" s="378"/>
      <x:c r="I27" s="379" t="str">
        <x:f>IF(H27="","",EDATE(H27,$M$8))</x:f>
      </x:c>
      <x:c r="J27" s="376"/>
    </x:row>
    <x:row r="28" ht="22" customHeight="1">
      <x:c r="A28" s="373" t="str">
        <x:v>Organization 23</x:v>
      </x:c>
      <x:c r="B28" s="378" t="n">
        <x:v>46037</x:v>
      </x:c>
      <x:c r="C28" s="379" t="n">
        <x:f>IF(B28="","",EDATE(B28,$M$5))</x:f>
        <x:v>46492</x:v>
      </x:c>
      <x:c r="D28" s="378" t="n">
        <x:v>45214</x:v>
      </x:c>
      <x:c r="E28" s="379" t="n">
        <x:f>IF(D28="","",EDATE(D28,$M$6))</x:f>
        <x:v>46310</x:v>
      </x:c>
      <x:c r="F28" s="378" t="n">
        <x:v>46174</x:v>
      </x:c>
      <x:c r="G28" s="379" t="n">
        <x:f>IF(F28="","",EDATE(F28,$M$7))</x:f>
        <x:v>46539</x:v>
      </x:c>
      <x:c r="H28" s="378"/>
      <x:c r="I28" s="379" t="str">
        <x:f>IF(H28="","",EDATE(H28,$M$8))</x:f>
      </x:c>
      <x:c r="J28" s="376"/>
    </x:row>
    <x:row r="29" ht="22" customHeight="1">
      <x:c r="A29" s="374" t="str">
        <x:v>Organization 24</x:v>
      </x:c>
      <x:c r="B29" s="378" t="n">
        <x:v>46037</x:v>
      </x:c>
      <x:c r="C29" s="379" t="n">
        <x:f>IF(B29="","",EDATE(B29,$M$5))</x:f>
        <x:v>46492</x:v>
      </x:c>
      <x:c r="D29" s="378" t="n">
        <x:v>45214</x:v>
      </x:c>
      <x:c r="E29" s="379" t="n">
        <x:f>IF(D29="","",EDATE(D29,$M$6))</x:f>
        <x:v>46310</x:v>
      </x:c>
      <x:c r="F29" s="378" t="n">
        <x:v>46174</x:v>
      </x:c>
      <x:c r="G29" s="379" t="n">
        <x:f>IF(F29="","",EDATE(F29,$M$7))</x:f>
        <x:v>46539</x:v>
      </x:c>
      <x:c r="H29" s="378"/>
      <x:c r="I29" s="379" t="str">
        <x:f>IF(H29="","",EDATE(H29,$M$8))</x:f>
      </x:c>
      <x:c r="J29" s="376"/>
    </x:row>
    <x:row r="30" ht="22" customHeight="1">
      <x:c r="A30" s="373" t="str">
        <x:v>Organization 25</x:v>
      </x:c>
      <x:c r="B30" s="378" t="n">
        <x:v>46037</x:v>
      </x:c>
      <x:c r="C30" s="379" t="n">
        <x:f>IF(B30="","",EDATE(B30,$M$5))</x:f>
        <x:v>46492</x:v>
      </x:c>
      <x:c r="D30" s="378" t="n">
        <x:v>45214</x:v>
      </x:c>
      <x:c r="E30" s="379" t="n">
        <x:f>IF(D30="","",EDATE(D30,$M$6))</x:f>
        <x:v>46310</x:v>
      </x:c>
      <x:c r="F30" s="378" t="n">
        <x:v>46174</x:v>
      </x:c>
      <x:c r="G30" s="379" t="n">
        <x:f>IF(F30="","",EDATE(F30,$M$7))</x:f>
        <x:v>46539</x:v>
      </x:c>
      <x:c r="H30" s="378"/>
      <x:c r="I30" s="379" t="str">
        <x:f>IF(H30="","",EDATE(H30,$M$8))</x:f>
      </x:c>
      <x:c r="J30" s="376"/>
    </x:row>
    <x:row r="31" ht="22" customHeight="1">
      <x:c r="A31" s="374" t="str">
        <x:v>Organization 26</x:v>
      </x:c>
      <x:c r="B31" s="378" t="n">
        <x:v>46037</x:v>
      </x:c>
      <x:c r="C31" s="379" t="n">
        <x:f>IF(B31="","",EDATE(B31,$M$5))</x:f>
        <x:v>46492</x:v>
      </x:c>
      <x:c r="D31" s="378" t="n">
        <x:v>45214</x:v>
      </x:c>
      <x:c r="E31" s="379" t="n">
        <x:f>IF(D31="","",EDATE(D31,$M$6))</x:f>
        <x:v>46310</x:v>
      </x:c>
      <x:c r="F31" s="378" t="n">
        <x:v>46174</x:v>
      </x:c>
      <x:c r="G31" s="379" t="n">
        <x:f>IF(F31="","",EDATE(F31,$M$7))</x:f>
        <x:v>46539</x:v>
      </x:c>
      <x:c r="H31" s="378"/>
      <x:c r="I31" s="379" t="str">
        <x:f>IF(H31="","",EDATE(H31,$M$8))</x:f>
      </x:c>
      <x:c r="J31" s="376"/>
    </x:row>
    <x:row r="32" ht="22" customHeight="1">
      <x:c r="A32" s="373" t="str">
        <x:v>Organization 27</x:v>
      </x:c>
      <x:c r="B32" s="378" t="n">
        <x:v>46037</x:v>
      </x:c>
      <x:c r="C32" s="379" t="n">
        <x:f>IF(B32="","",EDATE(B32,$M$5))</x:f>
        <x:v>46492</x:v>
      </x:c>
      <x:c r="D32" s="378" t="n">
        <x:v>45214</x:v>
      </x:c>
      <x:c r="E32" s="379" t="n">
        <x:f>IF(D32="","",EDATE(D32,$M$6))</x:f>
        <x:v>46310</x:v>
      </x:c>
      <x:c r="F32" s="378" t="n">
        <x:v>46174</x:v>
      </x:c>
      <x:c r="G32" s="379" t="n">
        <x:f>IF(F32="","",EDATE(F32,$M$7))</x:f>
        <x:v>46539</x:v>
      </x:c>
      <x:c r="H32" s="378"/>
      <x:c r="I32" s="379" t="str">
        <x:f>IF(H32="","",EDATE(H32,$M$8))</x:f>
      </x:c>
      <x:c r="J32" s="376"/>
    </x:row>
    <x:row r="33" ht="22" customHeight="1">
      <x:c r="A33" s="374" t="str">
        <x:v>Organization 28</x:v>
      </x:c>
      <x:c r="B33" s="378" t="n">
        <x:v>46037</x:v>
      </x:c>
      <x:c r="C33" s="379" t="n">
        <x:f>IF(B33="","",EDATE(B33,$M$5))</x:f>
        <x:v>46492</x:v>
      </x:c>
      <x:c r="D33" s="378" t="n">
        <x:v>45214</x:v>
      </x:c>
      <x:c r="E33" s="379" t="n">
        <x:f>IF(D33="","",EDATE(D33,$M$6))</x:f>
        <x:v>46310</x:v>
      </x:c>
      <x:c r="F33" s="378" t="n">
        <x:v>46174</x:v>
      </x:c>
      <x:c r="G33" s="379" t="n">
        <x:f>IF(F33="","",EDATE(F33,$M$7))</x:f>
        <x:v>46539</x:v>
      </x:c>
      <x:c r="H33" s="378"/>
      <x:c r="I33" s="379" t="str">
        <x:f>IF(H33="","",EDATE(H33,$M$8))</x:f>
      </x:c>
      <x:c r="J33" s="376"/>
    </x:row>
    <x:row r="34" ht="22" customHeight="1">
      <x:c r="A34" s="373" t="str">
        <x:v>Organization 29</x:v>
      </x:c>
      <x:c r="B34" s="378" t="n">
        <x:v>46037</x:v>
      </x:c>
      <x:c r="C34" s="379" t="n">
        <x:f>IF(B34="","",EDATE(B34,$M$5))</x:f>
        <x:v>46492</x:v>
      </x:c>
      <x:c r="D34" s="378" t="n">
        <x:v>45214</x:v>
      </x:c>
      <x:c r="E34" s="379" t="n">
        <x:f>IF(D34="","",EDATE(D34,$M$6))</x:f>
        <x:v>46310</x:v>
      </x:c>
      <x:c r="F34" s="378" t="n">
        <x:v>46174</x:v>
      </x:c>
      <x:c r="G34" s="379" t="n">
        <x:f>IF(F34="","",EDATE(F34,$M$7))</x:f>
        <x:v>46539</x:v>
      </x:c>
      <x:c r="H34" s="378"/>
      <x:c r="I34" s="379" t="str">
        <x:f>IF(H34="","",EDATE(H34,$M$8))</x:f>
      </x:c>
      <x:c r="J34" s="376"/>
    </x:row>
    <x:row r="35" ht="22" customHeight="1">
      <x:c r="A35" s="374" t="str">
        <x:v>Organization 30</x:v>
      </x:c>
      <x:c r="B35" s="378" t="n">
        <x:v>46037</x:v>
      </x:c>
      <x:c r="C35" s="379" t="n">
        <x:f>IF(B35="","",EDATE(B35,$M$5))</x:f>
        <x:v>46492</x:v>
      </x:c>
      <x:c r="D35" s="378" t="n">
        <x:v>45214</x:v>
      </x:c>
      <x:c r="E35" s="379" t="n">
        <x:f>IF(D35="","",EDATE(D35,$M$6))</x:f>
        <x:v>46310</x:v>
      </x:c>
      <x:c r="F35" s="378" t="n">
        <x:v>46174</x:v>
      </x:c>
      <x:c r="G35" s="379" t="n">
        <x:f>IF(F35="","",EDATE(F35,$M$7))</x:f>
        <x:v>46539</x:v>
      </x:c>
      <x:c r="H35" s="378"/>
      <x:c r="I35" s="379" t="str">
        <x:f>IF(H35="","",EDATE(H35,$M$8))</x:f>
      </x:c>
      <x:c r="J35" s="376"/>
    </x:row>
    <x:row r="36" ht="22" customHeight="1">
      <x:c r="A36" s="373" t="str">
        <x:v>Organization 31</x:v>
      </x:c>
      <x:c r="B36" s="378" t="n">
        <x:v>46037</x:v>
      </x:c>
      <x:c r="C36" s="379" t="n">
        <x:f>IF(B36="","",EDATE(B36,$M$5))</x:f>
        <x:v>46492</x:v>
      </x:c>
      <x:c r="D36" s="378" t="n">
        <x:v>45214</x:v>
      </x:c>
      <x:c r="E36" s="379" t="n">
        <x:f>IF(D36="","",EDATE(D36,$M$6))</x:f>
        <x:v>46310</x:v>
      </x:c>
      <x:c r="F36" s="378" t="n">
        <x:v>46174</x:v>
      </x:c>
      <x:c r="G36" s="379" t="n">
        <x:f>IF(F36="","",EDATE(F36,$M$7))</x:f>
        <x:v>46539</x:v>
      </x:c>
      <x:c r="H36" s="378"/>
      <x:c r="I36" s="379" t="str">
        <x:f>IF(H36="","",EDATE(H36,$M$8))</x:f>
      </x:c>
      <x:c r="J36" s="376"/>
    </x:row>
    <x:row r="37" ht="22" customHeight="1">
      <x:c r="A37" s="374" t="str">
        <x:v>Organization 32</x:v>
      </x:c>
      <x:c r="B37" s="378" t="n">
        <x:v>46037</x:v>
      </x:c>
      <x:c r="C37" s="379" t="n">
        <x:f>IF(B37="","",EDATE(B37,$M$5))</x:f>
        <x:v>46492</x:v>
      </x:c>
      <x:c r="D37" s="378" t="n">
        <x:v>45214</x:v>
      </x:c>
      <x:c r="E37" s="379" t="n">
        <x:f>IF(D37="","",EDATE(D37,$M$6))</x:f>
        <x:v>46310</x:v>
      </x:c>
      <x:c r="F37" s="378" t="n">
        <x:v>46174</x:v>
      </x:c>
      <x:c r="G37" s="379" t="n">
        <x:f>IF(F37="","",EDATE(F37,$M$7))</x:f>
        <x:v>46539</x:v>
      </x:c>
      <x:c r="H37" s="378"/>
      <x:c r="I37" s="379" t="str">
        <x:f>IF(H37="","",EDATE(H37,$M$8))</x:f>
      </x:c>
      <x:c r="J37" s="376"/>
    </x:row>
    <x:row r="38" ht="22" customHeight="1">
      <x:c r="A38" s="373" t="str">
        <x:v>Organization 33</x:v>
      </x:c>
      <x:c r="B38" s="378" t="n">
        <x:v>46037</x:v>
      </x:c>
      <x:c r="C38" s="379" t="n">
        <x:f>IF(B38="","",EDATE(B38,$M$5))</x:f>
        <x:v>46492</x:v>
      </x:c>
      <x:c r="D38" s="378" t="n">
        <x:v>45214</x:v>
      </x:c>
      <x:c r="E38" s="379" t="n">
        <x:f>IF(D38="","",EDATE(D38,$M$6))</x:f>
        <x:v>46310</x:v>
      </x:c>
      <x:c r="F38" s="378" t="n">
        <x:v>46174</x:v>
      </x:c>
      <x:c r="G38" s="379" t="n">
        <x:f>IF(F38="","",EDATE(F38,$M$7))</x:f>
        <x:v>46539</x:v>
      </x:c>
      <x:c r="H38" s="378"/>
      <x:c r="I38" s="379" t="str">
        <x:f>IF(H38="","",EDATE(H38,$M$8))</x:f>
      </x:c>
      <x:c r="J38" s="376"/>
    </x:row>
    <x:row r="39" ht="22" customHeight="1">
      <x:c r="A39" s="374" t="str">
        <x:v>Organization 34</x:v>
      </x:c>
      <x:c r="B39" s="378" t="n">
        <x:v>46037</x:v>
      </x:c>
      <x:c r="C39" s="379" t="n">
        <x:f>IF(B39="","",EDATE(B39,$M$5))</x:f>
        <x:v>46492</x:v>
      </x:c>
      <x:c r="D39" s="378" t="n">
        <x:v>45214</x:v>
      </x:c>
      <x:c r="E39" s="379" t="n">
        <x:f>IF(D39="","",EDATE(D39,$M$6))</x:f>
        <x:v>46310</x:v>
      </x:c>
      <x:c r="F39" s="378" t="n">
        <x:v>46174</x:v>
      </x:c>
      <x:c r="G39" s="379" t="n">
        <x:f>IF(F39="","",EDATE(F39,$M$7))</x:f>
        <x:v>46539</x:v>
      </x:c>
      <x:c r="H39" s="378"/>
      <x:c r="I39" s="379" t="str">
        <x:f>IF(H39="","",EDATE(H39,$M$8))</x:f>
      </x:c>
      <x:c r="J39" s="376"/>
    </x:row>
    <x:row r="40" ht="22" customHeight="1">
      <x:c r="A40" s="373" t="str">
        <x:v>Organization 35</x:v>
      </x:c>
      <x:c r="B40" s="378" t="n">
        <x:v>46037</x:v>
      </x:c>
      <x:c r="C40" s="379" t="n">
        <x:f>IF(B40="","",EDATE(B40,$M$5))</x:f>
        <x:v>46492</x:v>
      </x:c>
      <x:c r="D40" s="378" t="n">
        <x:v>45214</x:v>
      </x:c>
      <x:c r="E40" s="379" t="n">
        <x:f>IF(D40="","",EDATE(D40,$M$6))</x:f>
        <x:v>46310</x:v>
      </x:c>
      <x:c r="F40" s="378" t="n">
        <x:v>46174</x:v>
      </x:c>
      <x:c r="G40" s="379" t="n">
        <x:f>IF(F40="","",EDATE(F40,$M$7))</x:f>
        <x:v>46539</x:v>
      </x:c>
      <x:c r="H40" s="378"/>
      <x:c r="I40" s="379" t="str">
        <x:f>IF(H40="","",EDATE(H40,$M$8))</x:f>
      </x:c>
      <x:c r="J40" s="376"/>
    </x:row>
    <x:row r="42" ht="28.5" customHeight="1">
      <x:c r="A42" s="399" t="str">
        <x:v>How to use: edit client names in column A, enter the latest completion dates in the yellow columns, and add notes or important dates in column J. Blue due-date columns update automatically.</x:v>
      </x:c>
      <x:c r="B42" s="399"/>
      <x:c r="C42" s="399"/>
      <x:c r="D42" s="399"/>
      <x:c r="E42" s="399"/>
      <x:c r="F42" s="399"/>
      <x:c r="G42" s="399"/>
      <x:c r="H42" s="399"/>
      <x:c r="I42" s="399"/>
      <x:c r="J42" s="399"/>
    </x:row>
  </x:sheetData>
  <x:mergeCells>
    <x:mergeCell ref="I16:K16"/>
    <x:mergeCell ref="I13:K13"/>
    <x:mergeCell ref="I14:K14"/>
    <x:mergeCell ref="I15:K15"/>
    <x:mergeCell ref="A42:G42"/>
    <x:mergeCell ref="A1:J1"/>
    <x:mergeCell ref="A2:J2"/>
    <x:mergeCell ref="L2:O2"/>
    <x:mergeCell ref="L3:O3"/>
    <x:mergeCell ref="L10:O10"/>
    <x:mergeCell ref="A42:J42"/>
  </x:mergeCells>
  <x:conditionalFormatting sqref="C6:C40">
    <x:cfRule type="expression" dxfId="3" priority="4">
      <x:formula>AND(C6&lt;&gt;"",EDATE(C6,$I$6)-TODAY()&gt;$J$6*30.4375)</x:formula>
    </x:cfRule>
    <x:cfRule type="expression" dxfId="4" priority="5">
      <x:formula>AND(C6&lt;&gt;"",EDATE(C6,$I$6)-TODAY()&gt;$K$6*30.4375,EDATE(C6,$I$6)-TODAY()&lt;=$J$6*30.4375)</x:formula>
    </x:cfRule>
    <x:cfRule type="expression" dxfId="5" priority="6">
      <x:formula>AND(C6&lt;&gt;"",EDATE(C6,$I$6)-TODAY()&lt;=$K$6*30.4375)</x:formula>
    </x:cfRule>
    <x:cfRule type="expression" dxfId="26" priority="19">
      <x:formula>AND(C6&lt;&gt;"",EDATE(C6,$I$6)-TODAY()&gt;$J$6*30.4375)</x:formula>
    </x:cfRule>
    <x:cfRule type="expression" dxfId="27" priority="20">
      <x:formula>AND(C6&lt;&gt;"",EDATE(C6,$I$6)-TODAY()&gt;$K$6*30.4375,EDATE(C6,$I$6)-TODAY()&lt;=$J$6*30.4375)</x:formula>
    </x:cfRule>
    <x:cfRule type="expression" dxfId="28" priority="21">
      <x:formula>AND(C6&lt;&gt;"",EDATE(C6,$I$6)-TODAY()&lt;=$K$6*30.4375)</x:formula>
    </x:cfRule>
    <x:cfRule type="expression" dxfId="48" priority="37">
      <x:formula>AND(C6&lt;&gt;"",EDATE(C6,$I$6)-TODAY()&gt;$J$6*30.4375)</x:formula>
    </x:cfRule>
    <x:cfRule type="expression" dxfId="49" priority="38">
      <x:formula>AND(C6&lt;&gt;"",EDATE(C6,$I$6)-TODAY()&gt;$K$6*30.4375,EDATE(C6,$I$6)-TODAY()&lt;=$J$6*30.4375)</x:formula>
    </x:cfRule>
    <x:cfRule type="expression" dxfId="50" priority="39">
      <x:formula>AND(C6&lt;&gt;"",EDATE(C6,$I$6)-TODAY()&lt;=$K$6*30.4375)</x:formula>
    </x:cfRule>
  </x:conditionalFormatting>
  <x:conditionalFormatting sqref="E6:E40">
    <x:cfRule type="expression" dxfId="9" priority="10">
      <x:formula>AND(E6&lt;&gt;"",EDATE(E6,$I$8)-TODAY()&gt;$J$8*30.4375)</x:formula>
    </x:cfRule>
    <x:cfRule type="expression" dxfId="10" priority="11">
      <x:formula>AND(E6&lt;&gt;"",EDATE(E6,$I$8)-TODAY()&gt;$K$8*30.4375,EDATE(E6,$I$8)-TODAY()&lt;=$J$8*30.4375)</x:formula>
    </x:cfRule>
    <x:cfRule type="expression" dxfId="11" priority="12">
      <x:formula>AND(E6&lt;&gt;"",EDATE(E6,$I$8)-TODAY()&lt;=$K$8*30.4375)</x:formula>
    </x:cfRule>
    <x:cfRule type="expression" dxfId="32" priority="25">
      <x:formula>AND(E6&lt;&gt;"",EDATE(E6,$I$8)-TODAY()&gt;$J$8*30.4375)</x:formula>
    </x:cfRule>
    <x:cfRule type="expression" dxfId="33" priority="26">
      <x:formula>AND(E6&lt;&gt;"",EDATE(E6,$I$8)-TODAY()&gt;$K$8*30.4375,EDATE(E6,$I$8)-TODAY()&lt;=$J$8*30.4375)</x:formula>
    </x:cfRule>
    <x:cfRule type="expression" dxfId="34" priority="27">
      <x:formula>AND(E6&lt;&gt;"",EDATE(E6,$I$8)-TODAY()&lt;=$K$8*30.4375)</x:formula>
    </x:cfRule>
    <x:cfRule type="expression" dxfId="54" priority="43">
      <x:formula>AND(E6&lt;&gt;"",EDATE(E6,$I$8)-TODAY()&gt;$J$8*30.4375)</x:formula>
    </x:cfRule>
    <x:cfRule type="expression" dxfId="55" priority="44">
      <x:formula>AND(E6&lt;&gt;"",EDATE(E6,$I$8)-TODAY()&gt;$K$8*30.4375,EDATE(E6,$I$8)-TODAY()&lt;=$J$8*30.4375)</x:formula>
    </x:cfRule>
    <x:cfRule type="expression" dxfId="56" priority="45">
      <x:formula>AND(E6&lt;&gt;"",EDATE(E6,$I$8)-TODAY()&lt;=$K$8*30.4375)</x:formula>
    </x:cfRule>
  </x:conditionalFormatting>
  <x:conditionalFormatting sqref="G6:G40">
    <x:cfRule type="expression" dxfId="38" priority="31">
      <x:formula>AND(G6&lt;&gt;"",EDATE(G6,$I$10)-TODAY()&gt;$J$10*30.4375)</x:formula>
    </x:cfRule>
    <x:cfRule type="expression" dxfId="39" priority="32">
      <x:formula>AND(G6&lt;&gt;"",EDATE(G6,$I$10)-TODAY()&gt;$K$10*30.4375,EDATE(G6,$I$10)-TODAY()&lt;=$J$10*30.4375)</x:formula>
    </x:cfRule>
    <x:cfRule type="expression" dxfId="40" priority="33">
      <x:formula>AND(G6&lt;&gt;"",EDATE(G6,$I$10)-TODAY()&lt;=$K$10*30.4375)</x:formula>
    </x:cfRule>
    <x:cfRule type="expression" dxfId="60" priority="49">
      <x:formula>AND(G6&lt;&gt;"",EDATE(G6,$I$10)-TODAY()&gt;$J$10*30.4375)</x:formula>
    </x:cfRule>
    <x:cfRule type="expression" dxfId="61" priority="50">
      <x:formula>AND(G6&lt;&gt;"",EDATE(G6,$I$10)-TODAY()&gt;$K$10*30.4375,EDATE(G6,$I$10)-TODAY()&lt;=$J$10*30.4375)</x:formula>
    </x:cfRule>
    <x:cfRule type="expression" dxfId="62" priority="51">
      <x:formula>AND(G6&lt;&gt;"",EDATE(G6,$I$10)-TODAY()&lt;=$K$10*30.4375)</x:formula>
    </x:cfRule>
  </x:conditionalFormatting>
  <x:conditionalFormatting sqref="B6:B40">
    <x:cfRule type="expression" dxfId="67" priority="52">
      <x:formula>B6=""</x:formula>
    </x:cfRule>
    <x:cfRule type="expression" dxfId="68" priority="53">
      <x:formula>AND(B6&lt;&gt;"",C6&lt;=TODAY()+$O$5*30.4375)</x:formula>
    </x:cfRule>
    <x:cfRule type="expression" dxfId="69" priority="54">
      <x:formula>AND(B6&lt;&gt;"",C6&gt;TODAY()+$O$5*30.4375,C6&lt;=TODAY()+$N$5*30.4375)</x:formula>
    </x:cfRule>
    <x:cfRule type="expression" dxfId="70" priority="55">
      <x:formula>AND(B6&lt;&gt;"",C6&gt;TODAY()+$N$5*30.4375)</x:formula>
    </x:cfRule>
  </x:conditionalFormatting>
  <x:conditionalFormatting sqref="D6:D40">
    <x:cfRule type="expression" dxfId="71" priority="56">
      <x:formula>D6=""</x:formula>
    </x:cfRule>
    <x:cfRule type="expression" dxfId="72" priority="57">
      <x:formula>AND(D6&lt;&gt;"",E6&lt;=TODAY()+$O$6*30.4375)</x:formula>
    </x:cfRule>
    <x:cfRule type="expression" dxfId="73" priority="58">
      <x:formula>AND(D6&lt;&gt;"",E6&gt;TODAY()+$O$6*30.4375,E6&lt;=TODAY()+$N$6*30.4375)</x:formula>
    </x:cfRule>
    <x:cfRule type="expression" dxfId="74" priority="59">
      <x:formula>AND(D6&lt;&gt;"",E6&gt;TODAY()+$N$6*30.4375)</x:formula>
    </x:cfRule>
  </x:conditionalFormatting>
  <x:conditionalFormatting sqref="F6:F40">
    <x:cfRule type="expression" dxfId="75" priority="60">
      <x:formula>F6=""</x:formula>
    </x:cfRule>
    <x:cfRule type="expression" dxfId="76" priority="61">
      <x:formula>AND(F6&lt;&gt;"",G6&lt;=TODAY()+$O$7*30.4375)</x:formula>
    </x:cfRule>
    <x:cfRule type="expression" dxfId="77" priority="62">
      <x:formula>AND(F6&lt;&gt;"",G6&gt;TODAY()+$O$7*30.4375,G6&lt;=TODAY()+$N$7*30.4375)</x:formula>
    </x:cfRule>
    <x:cfRule type="expression" dxfId="78" priority="63">
      <x:formula>AND(F6&lt;&gt;"",G6&gt;TODAY()+$N$7*30.4375)</x:formula>
    </x:cfRule>
  </x:conditionalFormatting>
  <x:conditionalFormatting sqref="H6:H40">
    <x:cfRule type="expression" dxfId="79" priority="64">
      <x:formula>H6=""</x:formula>
    </x:cfRule>
    <x:cfRule type="expression" dxfId="80" priority="65">
      <x:formula>AND(H6&lt;&gt;"",I6&lt;=TODAY()+$O$8*30.4375)</x:formula>
    </x:cfRule>
    <x:cfRule type="expression" dxfId="81" priority="66">
      <x:formula>AND(H6&lt;&gt;"",I6&gt;TODAY()+$O$8*30.4375,I6&lt;=TODAY()+$N$8*30.4375)</x:formula>
    </x:cfRule>
    <x:cfRule type="expression" dxfId="82" priority="67">
      <x:formula>AND(H6&lt;&gt;"",I6&gt;TODAY()+$N$8*30.4375)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0" max="10" width="17.219999313354492" hidden="0" customWidth="1"/>
    <x:col min="11" max="11" width="21.110000610351562" hidden="0" customWidth="1"/>
    <x:col min="1" max="1" width="16.110000610351562" hidden="0" customWidth="1"/>
    <x:col min="2" max="2" width="21.110000610351562" hidden="0" customWidth="1"/>
    <x:col min="3" max="3" width="12.779999732971191" hidden="0" customWidth="1"/>
    <x:col min="4" max="4" width="11.670000076293945" hidden="0" customWidth="1"/>
    <x:col min="5" max="5" width="12.779999732971191" hidden="0" customWidth="1"/>
    <x:col min="6" max="6" width="12.220000267028809" hidden="0" customWidth="1"/>
    <x:col min="7" max="7" width="10.5600004196167" hidden="0" customWidth="1"/>
    <x:col min="8" max="8" width="2" hidden="0" customWidth="1"/>
    <x:col min="9" max="9" width="2" hidden="0" customWidth="1"/>
  </x:cols>
  <x:sheetData>
    <x:row r="1" ht="30" customHeight="1">
      <x:c r="A1" s="401" t="str">
        <x:v>Client / Topic Filtered View</x:v>
      </x:c>
      <x:c r="B1" s="401"/>
      <x:c r="C1" s="401"/>
      <x:c r="D1" s="401"/>
      <x:c r="E1" s="401"/>
      <x:c r="F1" s="401"/>
      <x:c r="G1" s="401"/>
      <x:c r="J1" s="369" t="str">
        <x:v>Client List</x:v>
      </x:c>
      <x:c r="K1" s="369" t="str">
        <x:v>Topic List</x:v>
      </x:c>
    </x:row>
    <x:row r="2" ht="28" customHeight="1">
      <x:c r="A2" s="362" t="str">
        <x:v>Use the dropdowns for one client/content item. The master schedule below updates from Client Overview automatically.</x:v>
      </x:c>
      <x:c r="B2" s="362"/>
      <x:c r="C2" s="362"/>
      <x:c r="D2" s="362"/>
      <x:c r="E2" s="362"/>
      <x:c r="F2" s="362"/>
      <x:c r="G2" s="362"/>
      <x:c r="J2" t="str">
        <x:f>'Client Overview'!A6</x:f>
        <x:v>Company X</x:v>
      </x:c>
      <x:c r="K2" t="str">
        <x:v>Annual Review</x:v>
      </x:c>
    </x:row>
    <x:row r="3">
      <x:c r="J3" t="str">
        <x:f>'Client Overview'!A7</x:f>
        <x:v>Company Y</x:v>
      </x:c>
      <x:c r="K3" t="str">
        <x:v>CSIRP Tabletop Completion</x:v>
      </x:c>
    </x:row>
    <x:row r="4" ht="28" customHeight="1">
      <x:c r="A4" s="369" t="str">
        <x:v>Client</x:v>
      </x:c>
      <x:c r="B4" s="382" t="str">
        <x:v>Company X</x:v>
      </x:c>
      <x:c r="C4"/>
      <x:c r="D4" s="369" t="str">
        <x:v>Content Item</x:v>
      </x:c>
      <x:c r="E4" s="382" t="str">
        <x:v>Annual Review</x:v>
      </x:c>
      <x:c r="F4"/>
      <x:c r="G4"/>
      <x:c r="J4" t="str">
        <x:f>'Client Overview'!A8</x:f>
        <x:v>Company Z</x:v>
      </x:c>
      <x:c r="K4" t="str">
        <x:v>Evidence Review</x:v>
      </x:c>
    </x:row>
    <x:row r="5">
      <x:c r="J5" t="str">
        <x:f>'Client Overview'!A9</x:f>
        <x:v>Organization 4</x:v>
      </x:c>
      <x:c r="K5" t="str">
        <x:v>CIP Monthly Questions</x:v>
      </x:c>
    </x:row>
    <x:row r="6" ht="36" customHeight="1">
      <x:c r="A6" s="369" t="str">
        <x:v>Client</x:v>
      </x:c>
      <x:c r="B6" s="369" t="str">
        <x:v>Content Item</x:v>
      </x:c>
      <x:c r="C6" s="369" t="str">
        <x:v>Last Completed</x:v>
      </x:c>
      <x:c r="D6" s="369" t="str">
        <x:v>Frequency (Months)</x:v>
      </x:c>
      <x:c r="E6" s="369" t="str">
        <x:v>Next Due</x:v>
      </x:c>
      <x:c r="F6" s="369" t="str">
        <x:v>Days Remaining</x:v>
      </x:c>
      <x:c r="G6" s="369" t="str">
        <x:v>Status</x:v>
      </x:c>
      <x:c r="J6" t="str">
        <x:f>'Client Overview'!A10</x:f>
        <x:v>Organization 5</x:v>
      </x:c>
      <x:c r="K6"/>
    </x:row>
    <x:row r="7" ht="42" customHeight="1">
      <x:c r="A7" s="371" t="str">
        <x:f>IF($B$4="","",$B$4)</x:f>
        <x:v>Company X</x:v>
      </x:c>
      <x:c r="B7" s="371" t="str">
        <x:f>IF($E$4="","",$E$4)</x:f>
        <x:v>Annual Review</x:v>
      </x:c>
      <x:c r="C7" s="404" t="n">
        <x:f>IFERROR(IF(INDEX('Client Overview'!$B$6:$I$40,MATCH($B$4,'Client Overview'!$A$6:$A$40,0),MATCH($E$4&amp;CHAR(10)&amp;"Completed",'Client Overview'!$B$5:$I$5,0))="","",INDEX('Client Overview'!$B$6:$I$40,MATCH($B$4,'Client Overview'!$A$6:$A$40,0),MATCH($E$4&amp;CHAR(10)&amp;"Completed",'Client Overview'!$B$5:$I$5,0))),"")</x:f>
        <x:v>46037</x:v>
      </x:c>
      <x:c r="D7" s="371" t="n">
        <x:f>IFERROR(INDEX('Client Overview'!$M$5:$M$8,MATCH($E$4,'Client Overview'!$L$5:$L$8,0)),"")</x:f>
        <x:v>15</x:v>
      </x:c>
      <x:c r="E7" s="404" t="n">
        <x:f>IFERROR(IF(INDEX('Client Overview'!$C$6:$I$40,MATCH($B$4,'Client Overview'!$A$6:$A$40,0),MATCH($E$4&amp;CHAR(10)&amp;"Due",'Client Overview'!$C$5:$I$5,0))="","",INDEX('Client Overview'!$C$6:$I$40,MATCH($B$4,'Client Overview'!$A$6:$A$40,0),MATCH($E$4&amp;CHAR(10)&amp;"Due",'Client Overview'!$C$5:$I$5,0))),"")</x:f>
        <x:v>46492</x:v>
      </x:c>
      <x:c r="F7" s="405" t="n">
        <x:f>IF(E7="","",E7-TODAY())</x:f>
        <x:v>211</x:v>
      </x:c>
      <x:c r="G7" s="371" t="str">
        <x:f>IF(E7="","No Date",IF(F7&lt;=INDEX('Client Overview'!$O$5:$O$8,MATCH($E$4,'Client Overview'!$L$5:$L$8,0))*30.4375,"Red",IF(F7&lt;=INDEX('Client Overview'!$N$5:$N$8,MATCH($E$4,'Client Overview'!$L$5:$L$8,0))*30.4375,"Yellow","Green")))</x:f>
        <x:v>Green</x:v>
      </x:c>
      <x:c r="J7" t="str">
        <x:f>'Client Overview'!A11</x:f>
        <x:v>Organization 6</x:v>
      </x:c>
      <x:c r="K7"/>
    </x:row>
    <x:row r="8">
      <x:c r="J8" t="str">
        <x:f>'Client Overview'!A12</x:f>
        <x:v>Organization 7</x:v>
      </x:c>
      <x:c r="K8"/>
    </x:row>
    <x:row r="9">
      <x:c r="J9" t="str">
        <x:f>'Client Overview'!A13</x:f>
        <x:v>Organization 8</x:v>
      </x:c>
      <x:c r="K9"/>
    </x:row>
    <x:row r="10" ht="28" customHeight="1">
      <x:c r="A10" s="407" t="str">
        <x:v>Status colors use the editable timing settings on Client Overview.</x:v>
      </x:c>
      <x:c r="B10" s="407"/>
      <x:c r="C10" s="407"/>
      <x:c r="D10" s="407"/>
      <x:c r="E10" s="407"/>
      <x:c r="F10" s="407"/>
      <x:c r="G10" s="407"/>
      <x:c r="J10" t="str">
        <x:f>'Client Overview'!A14</x:f>
        <x:v>Organization 9</x:v>
      </x:c>
      <x:c r="K10"/>
    </x:row>
    <x:row r="11">
      <x:c r="J11" t="str">
        <x:f>'Client Overview'!A15</x:f>
        <x:v>Organization 10</x:v>
      </x:c>
      <x:c r="K11"/>
    </x:row>
    <x:row r="12" ht="28" customHeight="1">
      <x:c r="A12" s="381" t="str">
        <x:v>Master Schedule — Filter by Client, Content Item, or Due Date</x:v>
      </x:c>
      <x:c r="B12" s="381"/>
      <x:c r="C12" s="381"/>
      <x:c r="D12" s="381"/>
      <x:c r="E12" s="381"/>
      <x:c r="F12" s="381"/>
      <x:c r="G12" s="381"/>
      <x:c r="J12" t="str">
        <x:f>'Client Overview'!A16</x:f>
        <x:v>Organization 11</x:v>
      </x:c>
      <x:c r="K12"/>
    </x:row>
    <x:row r="13" ht="27" customHeight="1">
      <x:c r="A13" s="362" t="str">
        <x:v>Use the filter arrows on row 15. Edit names only on Client Overview; this schedule and the dropdown list update automatically.</x:v>
      </x:c>
      <x:c r="B13" s="362"/>
      <x:c r="C13" s="362"/>
      <x:c r="D13" s="362"/>
      <x:c r="E13" s="362"/>
      <x:c r="F13" s="362"/>
      <x:c r="G13" s="362"/>
      <x:c r="J13" t="str">
        <x:f>'Client Overview'!A17</x:f>
        <x:v>Organization 12</x:v>
      </x:c>
      <x:c r="K13"/>
    </x:row>
    <x:row r="14">
      <x:c r="J14" t="str">
        <x:f>'Client Overview'!A18</x:f>
        <x:v>Organization 13</x:v>
      </x:c>
      <x:c r="K14"/>
    </x:row>
    <x:row r="15" ht="36" customHeight="1">
      <x:c r="A15" s="369" t="str">
        <x:v>Client</x:v>
      </x:c>
      <x:c r="B15" s="369" t="str">
        <x:v>Content Item</x:v>
      </x:c>
      <x:c r="C15" s="369" t="str">
        <x:v>Last Completed</x:v>
      </x:c>
      <x:c r="D15" s="369" t="str">
        <x:v>Frequency (Months)</x:v>
      </x:c>
      <x:c r="E15" s="369" t="str">
        <x:v>Next Due</x:v>
      </x:c>
      <x:c r="F15" s="369" t="str">
        <x:v>Days Remaining</x:v>
      </x:c>
      <x:c r="G15" s="369" t="str">
        <x:v>Status</x:v>
      </x:c>
      <x:c r="J15" t="str">
        <x:f>'Client Overview'!A19</x:f>
        <x:v>Organization 14</x:v>
      </x:c>
      <x:c r="K15"/>
    </x:row>
    <x:row r="16" ht="22" customHeight="1">
      <x:c r="A16" s="371" t="str">
        <x:f>'Client Overview'!A6</x:f>
        <x:v>Company X</x:v>
      </x:c>
      <x:c r="B16" s="371" t="str">
        <x:v>Annual Review</x:v>
      </x:c>
      <x:c r="C16" s="404" t="n">
        <x:f>IF('Client Overview'!B6="","",'Client Overview'!B6)</x:f>
        <x:v>46037</x:v>
      </x:c>
      <x:c r="D16" s="371" t="n">
        <x:f>'Client Overview'!M5</x:f>
        <x:v>15</x:v>
      </x:c>
      <x:c r="E16" s="404" t="n">
        <x:f>IF('Client Overview'!C6="","",'Client Overview'!C6)</x:f>
        <x:v>46492</x:v>
      </x:c>
      <x:c r="F16" s="405" t="n">
        <x:f>IF(E16="","",E16-TODAY())</x:f>
        <x:v>211</x:v>
      </x:c>
      <x:c r="G16" s="371" t="str">
        <x:f>IF(E16="","No Date",IF(F16&lt;='Client Overview'!O5*30.4375,"Red",IF(F16&lt;='Client Overview'!N5*30.4375,"Yellow","Green")))</x:f>
        <x:v>Green</x:v>
      </x:c>
      <x:c r="J16" t="str">
        <x:f>'Client Overview'!A20</x:f>
        <x:v>Organization 15</x:v>
      </x:c>
      <x:c r="K16"/>
    </x:row>
    <x:row r="17" ht="22" customHeight="1">
      <x:c r="A17" s="371" t="str">
        <x:f>'Client Overview'!A6</x:f>
        <x:v>Company X</x:v>
      </x:c>
      <x:c r="B17" s="371" t="str">
        <x:v>CSIRP Tabletop Completion</x:v>
      </x:c>
      <x:c r="C17" s="404" t="n">
        <x:f>IF('Client Overview'!D6="","",'Client Overview'!D6)</x:f>
        <x:v>45189</x:v>
      </x:c>
      <x:c r="D17" s="371" t="n">
        <x:f>'Client Overview'!M6</x:f>
        <x:v>36</x:v>
      </x:c>
      <x:c r="E17" s="404" t="n">
        <x:f>IF('Client Overview'!E6="","",'Client Overview'!E6)</x:f>
        <x:v>46285</x:v>
      </x:c>
      <x:c r="F17" s="405" t="n">
        <x:f>IF(E17="","",E17-TODAY())</x:f>
        <x:v>4</x:v>
      </x:c>
      <x:c r="G17" s="371" t="str">
        <x:f>IF(E17="","No Date",IF(F17&lt;='Client Overview'!O6*30.4375,"Red",IF(F17&lt;='Client Overview'!N6*30.4375,"Yellow","Green")))</x:f>
        <x:v>Red</x:v>
      </x:c>
      <x:c r="J17" t="str">
        <x:f>'Client Overview'!A21</x:f>
        <x:v>Organization 16</x:v>
      </x:c>
      <x:c r="K17"/>
    </x:row>
    <x:row r="18" ht="22" customHeight="1">
      <x:c r="A18" s="371" t="str">
        <x:f>'Client Overview'!A6</x:f>
        <x:v>Company X</x:v>
      </x:c>
      <x:c r="B18" s="371" t="str">
        <x:v>Evidence Review</x:v>
      </x:c>
      <x:c r="C18" s="404" t="n">
        <x:f>IF('Client Overview'!F6="","",'Client Overview'!F6)</x:f>
        <x:v>46174</x:v>
      </x:c>
      <x:c r="D18" s="371" t="n">
        <x:f>'Client Overview'!M7</x:f>
        <x:v>12</x:v>
      </x:c>
      <x:c r="E18" s="404" t="n">
        <x:f>IF('Client Overview'!G6="","",'Client Overview'!G6)</x:f>
        <x:v>46539</x:v>
      </x:c>
      <x:c r="F18" s="405" t="n">
        <x:f>IF(E18="","",E18-TODAY())</x:f>
        <x:v>258</x:v>
      </x:c>
      <x:c r="G18" s="371" t="str">
        <x:f>IF(E18="","No Date",IF(F18&lt;='Client Overview'!O7*30.4375,"Red",IF(F18&lt;='Client Overview'!N7*30.4375,"Yellow","Green")))</x:f>
        <x:v>Green</x:v>
      </x:c>
      <x:c r="J18" t="str">
        <x:f>'Client Overview'!A22</x:f>
        <x:v>Organization 17</x:v>
      </x:c>
      <x:c r="K18"/>
    </x:row>
    <x:row r="19" ht="22" customHeight="1">
      <x:c r="A19" s="371" t="str">
        <x:f>'Client Overview'!A6</x:f>
        <x:v>Company X</x:v>
      </x:c>
      <x:c r="B19" s="371" t="str">
        <x:v>CIP Monthly Questions</x:v>
      </x:c>
      <x:c r="C19" s="404" t="str">
        <x:f>IF('Client Overview'!H6="","",'Client Overview'!H6)</x:f>
      </x:c>
      <x:c r="D19" s="371" t="n">
        <x:f>'Client Overview'!M8</x:f>
        <x:v>1</x:v>
      </x:c>
      <x:c r="E19" s="404" t="str">
        <x:f>IF('Client Overview'!I6="","",'Client Overview'!I6)</x:f>
      </x:c>
      <x:c r="F19" s="405" t="str">
        <x:f>IF(E19="","",E19-TODAY())</x:f>
      </x:c>
      <x:c r="G19" s="371" t="str">
        <x:f>IF(E19="","No Date",IF(F19&lt;='Client Overview'!O8*30.4375,"Red",IF(F19&lt;='Client Overview'!N8*30.4375,"Yellow","Green")))</x:f>
        <x:v>No Date</x:v>
      </x:c>
      <x:c r="J19" t="str">
        <x:f>'Client Overview'!A23</x:f>
        <x:v>Organization 18</x:v>
      </x:c>
      <x:c r="K19"/>
    </x:row>
    <x:row r="20" ht="22" customHeight="1">
      <x:c r="A20" s="371" t="str">
        <x:f>'Client Overview'!A7</x:f>
        <x:v>Company Y</x:v>
      </x:c>
      <x:c r="B20" s="371" t="str">
        <x:v>Annual Review</x:v>
      </x:c>
      <x:c r="C20" s="404" t="n">
        <x:f>IF('Client Overview'!B7="","",'Client Overview'!B7)</x:f>
        <x:v>46037</x:v>
      </x:c>
      <x:c r="D20" s="371" t="n">
        <x:f>'Client Overview'!M5</x:f>
        <x:v>15</x:v>
      </x:c>
      <x:c r="E20" s="404" t="n">
        <x:f>IF('Client Overview'!C7="","",'Client Overview'!C7)</x:f>
        <x:v>46492</x:v>
      </x:c>
      <x:c r="F20" s="405" t="n">
        <x:f>IF(E20="","",E20-TODAY())</x:f>
        <x:v>211</x:v>
      </x:c>
      <x:c r="G20" s="371" t="str">
        <x:f>IF(E20="","No Date",IF(F20&lt;='Client Overview'!O5*30.4375,"Red",IF(F20&lt;='Client Overview'!N5*30.4375,"Yellow","Green")))</x:f>
        <x:v>Green</x:v>
      </x:c>
      <x:c r="J20" t="str">
        <x:f>'Client Overview'!A24</x:f>
        <x:v>Organization 19</x:v>
      </x:c>
      <x:c r="K20"/>
    </x:row>
    <x:row r="21" ht="22" customHeight="1">
      <x:c r="A21" s="371" t="str">
        <x:f>'Client Overview'!A7</x:f>
        <x:v>Company Y</x:v>
      </x:c>
      <x:c r="B21" s="371" t="str">
        <x:v>CSIRP Tabletop Completion</x:v>
      </x:c>
      <x:c r="C21" s="404" t="n">
        <x:f>IF('Client Overview'!D7="","",'Client Overview'!D7)</x:f>
        <x:v>45214</x:v>
      </x:c>
      <x:c r="D21" s="371" t="n">
        <x:f>'Client Overview'!M6</x:f>
        <x:v>36</x:v>
      </x:c>
      <x:c r="E21" s="404" t="n">
        <x:f>IF('Client Overview'!E7="","",'Client Overview'!E7)</x:f>
        <x:v>46310</x:v>
      </x:c>
      <x:c r="F21" s="405" t="n">
        <x:f>IF(E21="","",E21-TODAY())</x:f>
        <x:v>29</x:v>
      </x:c>
      <x:c r="G21" s="371" t="str">
        <x:f>IF(E21="","No Date",IF(F21&lt;='Client Overview'!O6*30.4375,"Red",IF(F21&lt;='Client Overview'!N6*30.4375,"Yellow","Green")))</x:f>
        <x:v>Red</x:v>
      </x:c>
      <x:c r="J21" t="str">
        <x:f>'Client Overview'!A25</x:f>
        <x:v>Organization 20</x:v>
      </x:c>
      <x:c r="K21"/>
    </x:row>
    <x:row r="22" ht="22" customHeight="1">
      <x:c r="A22" s="371" t="str">
        <x:f>'Client Overview'!A7</x:f>
        <x:v>Company Y</x:v>
      </x:c>
      <x:c r="B22" s="371" t="str">
        <x:v>Evidence Review</x:v>
      </x:c>
      <x:c r="C22" s="404" t="n">
        <x:f>IF('Client Overview'!F7="","",'Client Overview'!F7)</x:f>
        <x:v>46174</x:v>
      </x:c>
      <x:c r="D22" s="371" t="n">
        <x:f>'Client Overview'!M7</x:f>
        <x:v>12</x:v>
      </x:c>
      <x:c r="E22" s="404" t="n">
        <x:f>IF('Client Overview'!G7="","",'Client Overview'!G7)</x:f>
        <x:v>46539</x:v>
      </x:c>
      <x:c r="F22" s="405" t="n">
        <x:f>IF(E22="","",E22-TODAY())</x:f>
        <x:v>258</x:v>
      </x:c>
      <x:c r="G22" s="371" t="str">
        <x:f>IF(E22="","No Date",IF(F22&lt;='Client Overview'!O7*30.4375,"Red",IF(F22&lt;='Client Overview'!N7*30.4375,"Yellow","Green")))</x:f>
        <x:v>Green</x:v>
      </x:c>
      <x:c r="J22" t="str">
        <x:f>'Client Overview'!A26</x:f>
        <x:v>Organization 21</x:v>
      </x:c>
      <x:c r="K22"/>
    </x:row>
    <x:row r="23" ht="22" customHeight="1">
      <x:c r="A23" s="371" t="str">
        <x:f>'Client Overview'!A7</x:f>
        <x:v>Company Y</x:v>
      </x:c>
      <x:c r="B23" s="371" t="str">
        <x:v>CIP Monthly Questions</x:v>
      </x:c>
      <x:c r="C23" s="404" t="str">
        <x:f>IF('Client Overview'!H7="","",'Client Overview'!H7)</x:f>
      </x:c>
      <x:c r="D23" s="371" t="n">
        <x:f>'Client Overview'!M8</x:f>
        <x:v>1</x:v>
      </x:c>
      <x:c r="E23" s="404" t="str">
        <x:f>IF('Client Overview'!I7="","",'Client Overview'!I7)</x:f>
      </x:c>
      <x:c r="F23" s="405" t="str">
        <x:f>IF(E23="","",E23-TODAY())</x:f>
      </x:c>
      <x:c r="G23" s="371" t="str">
        <x:f>IF(E23="","No Date",IF(F23&lt;='Client Overview'!O8*30.4375,"Red",IF(F23&lt;='Client Overview'!N8*30.4375,"Yellow","Green")))</x:f>
        <x:v>No Date</x:v>
      </x:c>
      <x:c r="J23" t="str">
        <x:f>'Client Overview'!A27</x:f>
        <x:v>Organization 22</x:v>
      </x:c>
      <x:c r="K23"/>
    </x:row>
    <x:row r="24" ht="22" customHeight="1">
      <x:c r="A24" s="371" t="str">
        <x:f>'Client Overview'!A8</x:f>
        <x:v>Company Z</x:v>
      </x:c>
      <x:c r="B24" s="371" t="str">
        <x:v>Annual Review</x:v>
      </x:c>
      <x:c r="C24" s="404" t="n">
        <x:f>IF('Client Overview'!B8="","",'Client Overview'!B8)</x:f>
        <x:v>46037</x:v>
      </x:c>
      <x:c r="D24" s="371" t="n">
        <x:f>'Client Overview'!M5</x:f>
        <x:v>15</x:v>
      </x:c>
      <x:c r="E24" s="404" t="n">
        <x:f>IF('Client Overview'!C8="","",'Client Overview'!C8)</x:f>
        <x:v>46492</x:v>
      </x:c>
      <x:c r="F24" s="405" t="n">
        <x:f>IF(E24="","",E24-TODAY())</x:f>
        <x:v>211</x:v>
      </x:c>
      <x:c r="G24" s="371" t="str">
        <x:f>IF(E24="","No Date",IF(F24&lt;='Client Overview'!O5*30.4375,"Red",IF(F24&lt;='Client Overview'!N5*30.4375,"Yellow","Green")))</x:f>
        <x:v>Green</x:v>
      </x:c>
      <x:c r="J24" t="str">
        <x:f>'Client Overview'!A28</x:f>
        <x:v>Organization 23</x:v>
      </x:c>
      <x:c r="K24"/>
    </x:row>
    <x:row r="25" ht="22" customHeight="1">
      <x:c r="A25" s="371" t="str">
        <x:f>'Client Overview'!A8</x:f>
        <x:v>Company Z</x:v>
      </x:c>
      <x:c r="B25" s="371" t="str">
        <x:v>CSIRP Tabletop Completion</x:v>
      </x:c>
      <x:c r="C25" s="404" t="n">
        <x:f>IF('Client Overview'!D8="","",'Client Overview'!D8)</x:f>
        <x:v>45214</x:v>
      </x:c>
      <x:c r="D25" s="371" t="n">
        <x:f>'Client Overview'!M6</x:f>
        <x:v>36</x:v>
      </x:c>
      <x:c r="E25" s="404" t="n">
        <x:f>IF('Client Overview'!E8="","",'Client Overview'!E8)</x:f>
        <x:v>46310</x:v>
      </x:c>
      <x:c r="F25" s="405" t="n">
        <x:f>IF(E25="","",E25-TODAY())</x:f>
        <x:v>29</x:v>
      </x:c>
      <x:c r="G25" s="371" t="str">
        <x:f>IF(E25="","No Date",IF(F25&lt;='Client Overview'!O6*30.4375,"Red",IF(F25&lt;='Client Overview'!N6*30.4375,"Yellow","Green")))</x:f>
        <x:v>Red</x:v>
      </x:c>
      <x:c r="J25" t="str">
        <x:f>'Client Overview'!A29</x:f>
        <x:v>Organization 24</x:v>
      </x:c>
      <x:c r="K25"/>
    </x:row>
    <x:row r="26" ht="22" customHeight="1">
      <x:c r="A26" s="371" t="str">
        <x:f>'Client Overview'!A8</x:f>
        <x:v>Company Z</x:v>
      </x:c>
      <x:c r="B26" s="371" t="str">
        <x:v>Evidence Review</x:v>
      </x:c>
      <x:c r="C26" s="404" t="n">
        <x:f>IF('Client Overview'!F8="","",'Client Overview'!F8)</x:f>
        <x:v>46174</x:v>
      </x:c>
      <x:c r="D26" s="371" t="n">
        <x:f>'Client Overview'!M7</x:f>
        <x:v>12</x:v>
      </x:c>
      <x:c r="E26" s="404" t="n">
        <x:f>IF('Client Overview'!G8="","",'Client Overview'!G8)</x:f>
        <x:v>46539</x:v>
      </x:c>
      <x:c r="F26" s="405" t="n">
        <x:f>IF(E26="","",E26-TODAY())</x:f>
        <x:v>258</x:v>
      </x:c>
      <x:c r="G26" s="371" t="str">
        <x:f>IF(E26="","No Date",IF(F26&lt;='Client Overview'!O7*30.4375,"Red",IF(F26&lt;='Client Overview'!N7*30.4375,"Yellow","Green")))</x:f>
        <x:v>Green</x:v>
      </x:c>
      <x:c r="J26" t="str">
        <x:f>'Client Overview'!A30</x:f>
        <x:v>Organization 25</x:v>
      </x:c>
      <x:c r="K26"/>
    </x:row>
    <x:row r="27" ht="22" customHeight="1">
      <x:c r="A27" s="371" t="str">
        <x:f>'Client Overview'!A8</x:f>
        <x:v>Company Z</x:v>
      </x:c>
      <x:c r="B27" s="371" t="str">
        <x:v>CIP Monthly Questions</x:v>
      </x:c>
      <x:c r="C27" s="404" t="str">
        <x:f>IF('Client Overview'!H8="","",'Client Overview'!H8)</x:f>
      </x:c>
      <x:c r="D27" s="371" t="n">
        <x:f>'Client Overview'!M8</x:f>
        <x:v>1</x:v>
      </x:c>
      <x:c r="E27" s="404" t="str">
        <x:f>IF('Client Overview'!I8="","",'Client Overview'!I8)</x:f>
      </x:c>
      <x:c r="F27" s="405" t="str">
        <x:f>IF(E27="","",E27-TODAY())</x:f>
      </x:c>
      <x:c r="G27" s="371" t="str">
        <x:f>IF(E27="","No Date",IF(F27&lt;='Client Overview'!O8*30.4375,"Red",IF(F27&lt;='Client Overview'!N8*30.4375,"Yellow","Green")))</x:f>
        <x:v>No Date</x:v>
      </x:c>
      <x:c r="J27" t="str">
        <x:f>'Client Overview'!A31</x:f>
        <x:v>Organization 26</x:v>
      </x:c>
      <x:c r="K27"/>
    </x:row>
    <x:row r="28" ht="22" customHeight="1">
      <x:c r="A28" s="371" t="str">
        <x:f>'Client Overview'!A9</x:f>
        <x:v>Organization 4</x:v>
      </x:c>
      <x:c r="B28" s="371" t="str">
        <x:v>Annual Review</x:v>
      </x:c>
      <x:c r="C28" s="404" t="n">
        <x:f>IF('Client Overview'!B9="","",'Client Overview'!B9)</x:f>
        <x:v>46037</x:v>
      </x:c>
      <x:c r="D28" s="371" t="n">
        <x:f>'Client Overview'!M5</x:f>
        <x:v>15</x:v>
      </x:c>
      <x:c r="E28" s="404" t="n">
        <x:f>IF('Client Overview'!C9="","",'Client Overview'!C9)</x:f>
        <x:v>46492</x:v>
      </x:c>
      <x:c r="F28" s="405" t="n">
        <x:f>IF(E28="","",E28-TODAY())</x:f>
        <x:v>211</x:v>
      </x:c>
      <x:c r="G28" s="371" t="str">
        <x:f>IF(E28="","No Date",IF(F28&lt;='Client Overview'!O5*30.4375,"Red",IF(F28&lt;='Client Overview'!N5*30.4375,"Yellow","Green")))</x:f>
        <x:v>Green</x:v>
      </x:c>
      <x:c r="J28" t="str">
        <x:f>'Client Overview'!A32</x:f>
        <x:v>Organization 27</x:v>
      </x:c>
      <x:c r="K28"/>
    </x:row>
    <x:row r="29" ht="22" customHeight="1">
      <x:c r="A29" s="371" t="str">
        <x:f>'Client Overview'!A9</x:f>
        <x:v>Organization 4</x:v>
      </x:c>
      <x:c r="B29" s="371" t="str">
        <x:v>CSIRP Tabletop Completion</x:v>
      </x:c>
      <x:c r="C29" s="404" t="n">
        <x:f>IF('Client Overview'!D9="","",'Client Overview'!D9)</x:f>
        <x:v>45214</x:v>
      </x:c>
      <x:c r="D29" s="371" t="n">
        <x:f>'Client Overview'!M6</x:f>
        <x:v>36</x:v>
      </x:c>
      <x:c r="E29" s="404" t="n">
        <x:f>IF('Client Overview'!E9="","",'Client Overview'!E9)</x:f>
        <x:v>46310</x:v>
      </x:c>
      <x:c r="F29" s="405" t="n">
        <x:f>IF(E29="","",E29-TODAY())</x:f>
        <x:v>29</x:v>
      </x:c>
      <x:c r="G29" s="371" t="str">
        <x:f>IF(E29="","No Date",IF(F29&lt;='Client Overview'!O6*30.4375,"Red",IF(F29&lt;='Client Overview'!N6*30.4375,"Yellow","Green")))</x:f>
        <x:v>Red</x:v>
      </x:c>
      <x:c r="J29" t="str">
        <x:f>'Client Overview'!A33</x:f>
        <x:v>Organization 28</x:v>
      </x:c>
      <x:c r="K29"/>
    </x:row>
    <x:row r="30" ht="22" customHeight="1">
      <x:c r="A30" s="371" t="str">
        <x:f>'Client Overview'!A9</x:f>
        <x:v>Organization 4</x:v>
      </x:c>
      <x:c r="B30" s="371" t="str">
        <x:v>Evidence Review</x:v>
      </x:c>
      <x:c r="C30" s="404" t="n">
        <x:f>IF('Client Overview'!F9="","",'Client Overview'!F9)</x:f>
        <x:v>46174</x:v>
      </x:c>
      <x:c r="D30" s="371" t="n">
        <x:f>'Client Overview'!M7</x:f>
        <x:v>12</x:v>
      </x:c>
      <x:c r="E30" s="404" t="n">
        <x:f>IF('Client Overview'!G9="","",'Client Overview'!G9)</x:f>
        <x:v>46539</x:v>
      </x:c>
      <x:c r="F30" s="405" t="n">
        <x:f>IF(E30="","",E30-TODAY())</x:f>
        <x:v>258</x:v>
      </x:c>
      <x:c r="G30" s="371" t="str">
        <x:f>IF(E30="","No Date",IF(F30&lt;='Client Overview'!O7*30.4375,"Red",IF(F30&lt;='Client Overview'!N7*30.4375,"Yellow","Green")))</x:f>
        <x:v>Green</x:v>
      </x:c>
      <x:c r="J30" t="str">
        <x:f>'Client Overview'!A34</x:f>
        <x:v>Organization 29</x:v>
      </x:c>
      <x:c r="K30"/>
    </x:row>
    <x:row r="31" ht="22" customHeight="1">
      <x:c r="A31" s="371" t="str">
        <x:f>'Client Overview'!A9</x:f>
        <x:v>Organization 4</x:v>
      </x:c>
      <x:c r="B31" s="371" t="str">
        <x:v>CIP Monthly Questions</x:v>
      </x:c>
      <x:c r="C31" s="404" t="str">
        <x:f>IF('Client Overview'!H9="","",'Client Overview'!H9)</x:f>
      </x:c>
      <x:c r="D31" s="371" t="n">
        <x:f>'Client Overview'!M8</x:f>
        <x:v>1</x:v>
      </x:c>
      <x:c r="E31" s="404" t="str">
        <x:f>IF('Client Overview'!I9="","",'Client Overview'!I9)</x:f>
      </x:c>
      <x:c r="F31" s="405" t="str">
        <x:f>IF(E31="","",E31-TODAY())</x:f>
      </x:c>
      <x:c r="G31" s="371" t="str">
        <x:f>IF(E31="","No Date",IF(F31&lt;='Client Overview'!O8*30.4375,"Red",IF(F31&lt;='Client Overview'!N8*30.4375,"Yellow","Green")))</x:f>
        <x:v>No Date</x:v>
      </x:c>
      <x:c r="J31" t="str">
        <x:f>'Client Overview'!A35</x:f>
        <x:v>Organization 30</x:v>
      </x:c>
      <x:c r="K31"/>
    </x:row>
    <x:row r="32" ht="22" customHeight="1">
      <x:c r="A32" s="371" t="str">
        <x:f>'Client Overview'!A10</x:f>
        <x:v>Organization 5</x:v>
      </x:c>
      <x:c r="B32" s="371" t="str">
        <x:v>Annual Review</x:v>
      </x:c>
      <x:c r="C32" s="404" t="n">
        <x:f>IF('Client Overview'!B10="","",'Client Overview'!B10)</x:f>
        <x:v>46037</x:v>
      </x:c>
      <x:c r="D32" s="371" t="n">
        <x:f>'Client Overview'!M5</x:f>
        <x:v>15</x:v>
      </x:c>
      <x:c r="E32" s="404" t="n">
        <x:f>IF('Client Overview'!C10="","",'Client Overview'!C10)</x:f>
        <x:v>46492</x:v>
      </x:c>
      <x:c r="F32" s="405" t="n">
        <x:f>IF(E32="","",E32-TODAY())</x:f>
        <x:v>211</x:v>
      </x:c>
      <x:c r="G32" s="371" t="str">
        <x:f>IF(E32="","No Date",IF(F32&lt;='Client Overview'!O5*30.4375,"Red",IF(F32&lt;='Client Overview'!N5*30.4375,"Yellow","Green")))</x:f>
        <x:v>Green</x:v>
      </x:c>
      <x:c r="J32" t="str">
        <x:f>'Client Overview'!A36</x:f>
        <x:v>Organization 31</x:v>
      </x:c>
      <x:c r="K32"/>
    </x:row>
    <x:row r="33" ht="22" customHeight="1">
      <x:c r="A33" s="371" t="str">
        <x:f>'Client Overview'!A10</x:f>
        <x:v>Organization 5</x:v>
      </x:c>
      <x:c r="B33" s="371" t="str">
        <x:v>CSIRP Tabletop Completion</x:v>
      </x:c>
      <x:c r="C33" s="404" t="n">
        <x:f>IF('Client Overview'!D10="","",'Client Overview'!D10)</x:f>
        <x:v>45214</x:v>
      </x:c>
      <x:c r="D33" s="371" t="n">
        <x:f>'Client Overview'!M6</x:f>
        <x:v>36</x:v>
      </x:c>
      <x:c r="E33" s="404" t="n">
        <x:f>IF('Client Overview'!E10="","",'Client Overview'!E10)</x:f>
        <x:v>46310</x:v>
      </x:c>
      <x:c r="F33" s="405" t="n">
        <x:f>IF(E33="","",E33-TODAY())</x:f>
        <x:v>29</x:v>
      </x:c>
      <x:c r="G33" s="371" t="str">
        <x:f>IF(E33="","No Date",IF(F33&lt;='Client Overview'!O6*30.4375,"Red",IF(F33&lt;='Client Overview'!N6*30.4375,"Yellow","Green")))</x:f>
        <x:v>Red</x:v>
      </x:c>
      <x:c r="J33" t="str">
        <x:f>'Client Overview'!A37</x:f>
        <x:v>Organization 32</x:v>
      </x:c>
      <x:c r="K33"/>
    </x:row>
    <x:row r="34" ht="22" customHeight="1">
      <x:c r="A34" s="371" t="str">
        <x:f>'Client Overview'!A10</x:f>
        <x:v>Organization 5</x:v>
      </x:c>
      <x:c r="B34" s="371" t="str">
        <x:v>Evidence Review</x:v>
      </x:c>
      <x:c r="C34" s="404" t="n">
        <x:f>IF('Client Overview'!F10="","",'Client Overview'!F10)</x:f>
        <x:v>46174</x:v>
      </x:c>
      <x:c r="D34" s="371" t="n">
        <x:f>'Client Overview'!M7</x:f>
        <x:v>12</x:v>
      </x:c>
      <x:c r="E34" s="404" t="n">
        <x:f>IF('Client Overview'!G10="","",'Client Overview'!G10)</x:f>
        <x:v>46539</x:v>
      </x:c>
      <x:c r="F34" s="405" t="n">
        <x:f>IF(E34="","",E34-TODAY())</x:f>
        <x:v>258</x:v>
      </x:c>
      <x:c r="G34" s="371" t="str">
        <x:f>IF(E34="","No Date",IF(F34&lt;='Client Overview'!O7*30.4375,"Red",IF(F34&lt;='Client Overview'!N7*30.4375,"Yellow","Green")))</x:f>
        <x:v>Green</x:v>
      </x:c>
      <x:c r="J34" t="str">
        <x:f>'Client Overview'!A38</x:f>
        <x:v>Organization 33</x:v>
      </x:c>
      <x:c r="K34"/>
    </x:row>
    <x:row r="35" ht="22" customHeight="1">
      <x:c r="A35" s="371" t="str">
        <x:f>'Client Overview'!A10</x:f>
        <x:v>Organization 5</x:v>
      </x:c>
      <x:c r="B35" s="371" t="str">
        <x:v>CIP Monthly Questions</x:v>
      </x:c>
      <x:c r="C35" s="404" t="str">
        <x:f>IF('Client Overview'!H10="","",'Client Overview'!H10)</x:f>
      </x:c>
      <x:c r="D35" s="371" t="n">
        <x:f>'Client Overview'!M8</x:f>
        <x:v>1</x:v>
      </x:c>
      <x:c r="E35" s="404" t="str">
        <x:f>IF('Client Overview'!I10="","",'Client Overview'!I10)</x:f>
      </x:c>
      <x:c r="F35" s="405" t="str">
        <x:f>IF(E35="","",E35-TODAY())</x:f>
      </x:c>
      <x:c r="G35" s="371" t="str">
        <x:f>IF(E35="","No Date",IF(F35&lt;='Client Overview'!O8*30.4375,"Red",IF(F35&lt;='Client Overview'!N8*30.4375,"Yellow","Green")))</x:f>
        <x:v>No Date</x:v>
      </x:c>
      <x:c r="J35" t="str">
        <x:f>'Client Overview'!A39</x:f>
        <x:v>Organization 34</x:v>
      </x:c>
      <x:c r="K35"/>
    </x:row>
    <x:row r="36" ht="22" customHeight="1">
      <x:c r="A36" s="371" t="str">
        <x:f>'Client Overview'!A11</x:f>
        <x:v>Organization 6</x:v>
      </x:c>
      <x:c r="B36" s="371" t="str">
        <x:v>Annual Review</x:v>
      </x:c>
      <x:c r="C36" s="404" t="n">
        <x:f>IF('Client Overview'!B11="","",'Client Overview'!B11)</x:f>
        <x:v>46037</x:v>
      </x:c>
      <x:c r="D36" s="371" t="n">
        <x:f>'Client Overview'!M5</x:f>
        <x:v>15</x:v>
      </x:c>
      <x:c r="E36" s="404" t="n">
        <x:f>IF('Client Overview'!C11="","",'Client Overview'!C11)</x:f>
        <x:v>46492</x:v>
      </x:c>
      <x:c r="F36" s="405" t="n">
        <x:f>IF(E36="","",E36-TODAY())</x:f>
        <x:v>211</x:v>
      </x:c>
      <x:c r="G36" s="371" t="str">
        <x:f>IF(E36="","No Date",IF(F36&lt;='Client Overview'!O5*30.4375,"Red",IF(F36&lt;='Client Overview'!N5*30.4375,"Yellow","Green")))</x:f>
        <x:v>Green</x:v>
      </x:c>
      <x:c r="J36" t="str">
        <x:f>'Client Overview'!A40</x:f>
        <x:v>Organization 35</x:v>
      </x:c>
      <x:c r="K36"/>
    </x:row>
    <x:row r="37" ht="22" customHeight="1">
      <x:c r="A37" s="371" t="str">
        <x:f>'Client Overview'!A11</x:f>
        <x:v>Organization 6</x:v>
      </x:c>
      <x:c r="B37" s="371" t="str">
        <x:v>CSIRP Tabletop Completion</x:v>
      </x:c>
      <x:c r="C37" s="404" t="n">
        <x:f>IF('Client Overview'!D11="","",'Client Overview'!D11)</x:f>
        <x:v>45214</x:v>
      </x:c>
      <x:c r="D37" s="371" t="n">
        <x:f>'Client Overview'!M6</x:f>
        <x:v>36</x:v>
      </x:c>
      <x:c r="E37" s="404" t="n">
        <x:f>IF('Client Overview'!E11="","",'Client Overview'!E11)</x:f>
        <x:v>46310</x:v>
      </x:c>
      <x:c r="F37" s="405" t="n">
        <x:f>IF(E37="","",E37-TODAY())</x:f>
        <x:v>29</x:v>
      </x:c>
      <x:c r="G37" s="371" t="str">
        <x:f>IF(E37="","No Date",IF(F37&lt;='Client Overview'!O6*30.4375,"Red",IF(F37&lt;='Client Overview'!N6*30.4375,"Yellow","Green")))</x:f>
        <x:v>Red</x:v>
      </x:c>
    </x:row>
    <x:row r="38" ht="22" customHeight="1">
      <x:c r="A38" s="371" t="str">
        <x:f>'Client Overview'!A11</x:f>
        <x:v>Organization 6</x:v>
      </x:c>
      <x:c r="B38" s="371" t="str">
        <x:v>Evidence Review</x:v>
      </x:c>
      <x:c r="C38" s="404" t="n">
        <x:f>IF('Client Overview'!F11="","",'Client Overview'!F11)</x:f>
        <x:v>46174</x:v>
      </x:c>
      <x:c r="D38" s="371" t="n">
        <x:f>'Client Overview'!M7</x:f>
        <x:v>12</x:v>
      </x:c>
      <x:c r="E38" s="404" t="n">
        <x:f>IF('Client Overview'!G11="","",'Client Overview'!G11)</x:f>
        <x:v>46539</x:v>
      </x:c>
      <x:c r="F38" s="405" t="n">
        <x:f>IF(E38="","",E38-TODAY())</x:f>
        <x:v>258</x:v>
      </x:c>
      <x:c r="G38" s="371" t="str">
        <x:f>IF(E38="","No Date",IF(F38&lt;='Client Overview'!O7*30.4375,"Red",IF(F38&lt;='Client Overview'!N7*30.4375,"Yellow","Green")))</x:f>
        <x:v>Green</x:v>
      </x:c>
    </x:row>
    <x:row r="39" ht="22" customHeight="1">
      <x:c r="A39" s="371" t="str">
        <x:f>'Client Overview'!A11</x:f>
        <x:v>Organization 6</x:v>
      </x:c>
      <x:c r="B39" s="371" t="str">
        <x:v>CIP Monthly Questions</x:v>
      </x:c>
      <x:c r="C39" s="404" t="str">
        <x:f>IF('Client Overview'!H11="","",'Client Overview'!H11)</x:f>
      </x:c>
      <x:c r="D39" s="371" t="n">
        <x:f>'Client Overview'!M8</x:f>
        <x:v>1</x:v>
      </x:c>
      <x:c r="E39" s="404" t="str">
        <x:f>IF('Client Overview'!I11="","",'Client Overview'!I11)</x:f>
      </x:c>
      <x:c r="F39" s="405" t="str">
        <x:f>IF(E39="","",E39-TODAY())</x:f>
      </x:c>
      <x:c r="G39" s="371" t="str">
        <x:f>IF(E39="","No Date",IF(F39&lt;='Client Overview'!O8*30.4375,"Red",IF(F39&lt;='Client Overview'!N8*30.4375,"Yellow","Green")))</x:f>
        <x:v>No Date</x:v>
      </x:c>
    </x:row>
    <x:row r="40" ht="22" customHeight="1">
      <x:c r="A40" s="371" t="str">
        <x:f>'Client Overview'!A12</x:f>
        <x:v>Organization 7</x:v>
      </x:c>
      <x:c r="B40" s="371" t="str">
        <x:v>Annual Review</x:v>
      </x:c>
      <x:c r="C40" s="404" t="n">
        <x:f>IF('Client Overview'!B12="","",'Client Overview'!B12)</x:f>
        <x:v>46037</x:v>
      </x:c>
      <x:c r="D40" s="371" t="n">
        <x:f>'Client Overview'!M5</x:f>
        <x:v>15</x:v>
      </x:c>
      <x:c r="E40" s="404" t="n">
        <x:f>IF('Client Overview'!C12="","",'Client Overview'!C12)</x:f>
        <x:v>46492</x:v>
      </x:c>
      <x:c r="F40" s="405" t="n">
        <x:f>IF(E40="","",E40-TODAY())</x:f>
        <x:v>211</x:v>
      </x:c>
      <x:c r="G40" s="371" t="str">
        <x:f>IF(E40="","No Date",IF(F40&lt;='Client Overview'!O5*30.4375,"Red",IF(F40&lt;='Client Overview'!N5*30.4375,"Yellow","Green")))</x:f>
        <x:v>Green</x:v>
      </x:c>
    </x:row>
    <x:row r="41" ht="22" customHeight="1">
      <x:c r="A41" s="371" t="str">
        <x:f>'Client Overview'!A12</x:f>
        <x:v>Organization 7</x:v>
      </x:c>
      <x:c r="B41" s="371" t="str">
        <x:v>CSIRP Tabletop Completion</x:v>
      </x:c>
      <x:c r="C41" s="404" t="n">
        <x:f>IF('Client Overview'!D12="","",'Client Overview'!D12)</x:f>
        <x:v>45214</x:v>
      </x:c>
      <x:c r="D41" s="371" t="n">
        <x:f>'Client Overview'!M6</x:f>
        <x:v>36</x:v>
      </x:c>
      <x:c r="E41" s="404" t="n">
        <x:f>IF('Client Overview'!E12="","",'Client Overview'!E12)</x:f>
        <x:v>46310</x:v>
      </x:c>
      <x:c r="F41" s="405" t="n">
        <x:f>IF(E41="","",E41-TODAY())</x:f>
        <x:v>29</x:v>
      </x:c>
      <x:c r="G41" s="371" t="str">
        <x:f>IF(E41="","No Date",IF(F41&lt;='Client Overview'!O6*30.4375,"Red",IF(F41&lt;='Client Overview'!N6*30.4375,"Yellow","Green")))</x:f>
        <x:v>Red</x:v>
      </x:c>
    </x:row>
    <x:row r="42" ht="22" customHeight="1">
      <x:c r="A42" s="371" t="str">
        <x:f>'Client Overview'!A12</x:f>
        <x:v>Organization 7</x:v>
      </x:c>
      <x:c r="B42" s="371" t="str">
        <x:v>Evidence Review</x:v>
      </x:c>
      <x:c r="C42" s="404" t="n">
        <x:f>IF('Client Overview'!F12="","",'Client Overview'!F12)</x:f>
        <x:v>46174</x:v>
      </x:c>
      <x:c r="D42" s="371" t="n">
        <x:f>'Client Overview'!M7</x:f>
        <x:v>12</x:v>
      </x:c>
      <x:c r="E42" s="404" t="n">
        <x:f>IF('Client Overview'!G12="","",'Client Overview'!G12)</x:f>
        <x:v>46539</x:v>
      </x:c>
      <x:c r="F42" s="405" t="n">
        <x:f>IF(E42="","",E42-TODAY())</x:f>
        <x:v>258</x:v>
      </x:c>
      <x:c r="G42" s="371" t="str">
        <x:f>IF(E42="","No Date",IF(F42&lt;='Client Overview'!O7*30.4375,"Red",IF(F42&lt;='Client Overview'!N7*30.4375,"Yellow","Green")))</x:f>
        <x:v>Green</x:v>
      </x:c>
    </x:row>
    <x:row r="43" ht="22" customHeight="1">
      <x:c r="A43" s="371" t="str">
        <x:f>'Client Overview'!A12</x:f>
        <x:v>Organization 7</x:v>
      </x:c>
      <x:c r="B43" s="371" t="str">
        <x:v>CIP Monthly Questions</x:v>
      </x:c>
      <x:c r="C43" s="404" t="str">
        <x:f>IF('Client Overview'!H12="","",'Client Overview'!H12)</x:f>
      </x:c>
      <x:c r="D43" s="371" t="n">
        <x:f>'Client Overview'!M8</x:f>
        <x:v>1</x:v>
      </x:c>
      <x:c r="E43" s="404" t="str">
        <x:f>IF('Client Overview'!I12="","",'Client Overview'!I12)</x:f>
      </x:c>
      <x:c r="F43" s="405" t="str">
        <x:f>IF(E43="","",E43-TODAY())</x:f>
      </x:c>
      <x:c r="G43" s="371" t="str">
        <x:f>IF(E43="","No Date",IF(F43&lt;='Client Overview'!O8*30.4375,"Red",IF(F43&lt;='Client Overview'!N8*30.4375,"Yellow","Green")))</x:f>
        <x:v>No Date</x:v>
      </x:c>
    </x:row>
    <x:row r="44" ht="22" customHeight="1">
      <x:c r="A44" s="371" t="str">
        <x:f>'Client Overview'!A13</x:f>
        <x:v>Organization 8</x:v>
      </x:c>
      <x:c r="B44" s="371" t="str">
        <x:v>Annual Review</x:v>
      </x:c>
      <x:c r="C44" s="404" t="n">
        <x:f>IF('Client Overview'!B13="","",'Client Overview'!B13)</x:f>
        <x:v>46037</x:v>
      </x:c>
      <x:c r="D44" s="371" t="n">
        <x:f>'Client Overview'!M5</x:f>
        <x:v>15</x:v>
      </x:c>
      <x:c r="E44" s="404" t="n">
        <x:f>IF('Client Overview'!C13="","",'Client Overview'!C13)</x:f>
        <x:v>46492</x:v>
      </x:c>
      <x:c r="F44" s="405" t="n">
        <x:f>IF(E44="","",E44-TODAY())</x:f>
        <x:v>211</x:v>
      </x:c>
      <x:c r="G44" s="371" t="str">
        <x:f>IF(E44="","No Date",IF(F44&lt;='Client Overview'!O5*30.4375,"Red",IF(F44&lt;='Client Overview'!N5*30.4375,"Yellow","Green")))</x:f>
        <x:v>Green</x:v>
      </x:c>
    </x:row>
    <x:row r="45" ht="22" customHeight="1">
      <x:c r="A45" s="371" t="str">
        <x:f>'Client Overview'!A13</x:f>
        <x:v>Organization 8</x:v>
      </x:c>
      <x:c r="B45" s="371" t="str">
        <x:v>CSIRP Tabletop Completion</x:v>
      </x:c>
      <x:c r="C45" s="404" t="n">
        <x:f>IF('Client Overview'!D13="","",'Client Overview'!D13)</x:f>
        <x:v>45214</x:v>
      </x:c>
      <x:c r="D45" s="371" t="n">
        <x:f>'Client Overview'!M6</x:f>
        <x:v>36</x:v>
      </x:c>
      <x:c r="E45" s="404" t="n">
        <x:f>IF('Client Overview'!E13="","",'Client Overview'!E13)</x:f>
        <x:v>46310</x:v>
      </x:c>
      <x:c r="F45" s="405" t="n">
        <x:f>IF(E45="","",E45-TODAY())</x:f>
        <x:v>29</x:v>
      </x:c>
      <x:c r="G45" s="371" t="str">
        <x:f>IF(E45="","No Date",IF(F45&lt;='Client Overview'!O6*30.4375,"Red",IF(F45&lt;='Client Overview'!N6*30.4375,"Yellow","Green")))</x:f>
        <x:v>Red</x:v>
      </x:c>
    </x:row>
    <x:row r="46" ht="22" customHeight="1">
      <x:c r="A46" s="371" t="str">
        <x:f>'Client Overview'!A13</x:f>
        <x:v>Organization 8</x:v>
      </x:c>
      <x:c r="B46" s="371" t="str">
        <x:v>Evidence Review</x:v>
      </x:c>
      <x:c r="C46" s="404" t="n">
        <x:f>IF('Client Overview'!F13="","",'Client Overview'!F13)</x:f>
        <x:v>46174</x:v>
      </x:c>
      <x:c r="D46" s="371" t="n">
        <x:f>'Client Overview'!M7</x:f>
        <x:v>12</x:v>
      </x:c>
      <x:c r="E46" s="404" t="n">
        <x:f>IF('Client Overview'!G13="","",'Client Overview'!G13)</x:f>
        <x:v>46539</x:v>
      </x:c>
      <x:c r="F46" s="405" t="n">
        <x:f>IF(E46="","",E46-TODAY())</x:f>
        <x:v>258</x:v>
      </x:c>
      <x:c r="G46" s="371" t="str">
        <x:f>IF(E46="","No Date",IF(F46&lt;='Client Overview'!O7*30.4375,"Red",IF(F46&lt;='Client Overview'!N7*30.4375,"Yellow","Green")))</x:f>
        <x:v>Green</x:v>
      </x:c>
    </x:row>
    <x:row r="47" ht="22" customHeight="1">
      <x:c r="A47" s="371" t="str">
        <x:f>'Client Overview'!A13</x:f>
        <x:v>Organization 8</x:v>
      </x:c>
      <x:c r="B47" s="371" t="str">
        <x:v>CIP Monthly Questions</x:v>
      </x:c>
      <x:c r="C47" s="404" t="str">
        <x:f>IF('Client Overview'!H13="","",'Client Overview'!H13)</x:f>
      </x:c>
      <x:c r="D47" s="371" t="n">
        <x:f>'Client Overview'!M8</x:f>
        <x:v>1</x:v>
      </x:c>
      <x:c r="E47" s="404" t="str">
        <x:f>IF('Client Overview'!I13="","",'Client Overview'!I13)</x:f>
      </x:c>
      <x:c r="F47" s="405" t="str">
        <x:f>IF(E47="","",E47-TODAY())</x:f>
      </x:c>
      <x:c r="G47" s="371" t="str">
        <x:f>IF(E47="","No Date",IF(F47&lt;='Client Overview'!O8*30.4375,"Red",IF(F47&lt;='Client Overview'!N8*30.4375,"Yellow","Green")))</x:f>
        <x:v>No Date</x:v>
      </x:c>
    </x:row>
    <x:row r="48" ht="22" customHeight="1">
      <x:c r="A48" s="371" t="str">
        <x:f>'Client Overview'!A14</x:f>
        <x:v>Organization 9</x:v>
      </x:c>
      <x:c r="B48" s="371" t="str">
        <x:v>Annual Review</x:v>
      </x:c>
      <x:c r="C48" s="404" t="n">
        <x:f>IF('Client Overview'!B14="","",'Client Overview'!B14)</x:f>
        <x:v>46037</x:v>
      </x:c>
      <x:c r="D48" s="371" t="n">
        <x:f>'Client Overview'!M5</x:f>
        <x:v>15</x:v>
      </x:c>
      <x:c r="E48" s="404" t="n">
        <x:f>IF('Client Overview'!C14="","",'Client Overview'!C14)</x:f>
        <x:v>46492</x:v>
      </x:c>
      <x:c r="F48" s="405" t="n">
        <x:f>IF(E48="","",E48-TODAY())</x:f>
        <x:v>211</x:v>
      </x:c>
      <x:c r="G48" s="371" t="str">
        <x:f>IF(E48="","No Date",IF(F48&lt;='Client Overview'!O5*30.4375,"Red",IF(F48&lt;='Client Overview'!N5*30.4375,"Yellow","Green")))</x:f>
        <x:v>Green</x:v>
      </x:c>
    </x:row>
    <x:row r="49" ht="22" customHeight="1">
      <x:c r="A49" s="371" t="str">
        <x:f>'Client Overview'!A14</x:f>
        <x:v>Organization 9</x:v>
      </x:c>
      <x:c r="B49" s="371" t="str">
        <x:v>CSIRP Tabletop Completion</x:v>
      </x:c>
      <x:c r="C49" s="404" t="n">
        <x:f>IF('Client Overview'!D14="","",'Client Overview'!D14)</x:f>
        <x:v>45214</x:v>
      </x:c>
      <x:c r="D49" s="371" t="n">
        <x:f>'Client Overview'!M6</x:f>
        <x:v>36</x:v>
      </x:c>
      <x:c r="E49" s="404" t="n">
        <x:f>IF('Client Overview'!E14="","",'Client Overview'!E14)</x:f>
        <x:v>46310</x:v>
      </x:c>
      <x:c r="F49" s="405" t="n">
        <x:f>IF(E49="","",E49-TODAY())</x:f>
        <x:v>29</x:v>
      </x:c>
      <x:c r="G49" s="371" t="str">
        <x:f>IF(E49="","No Date",IF(F49&lt;='Client Overview'!O6*30.4375,"Red",IF(F49&lt;='Client Overview'!N6*30.4375,"Yellow","Green")))</x:f>
        <x:v>Red</x:v>
      </x:c>
    </x:row>
    <x:row r="50" ht="22" customHeight="1">
      <x:c r="A50" s="371" t="str">
        <x:f>'Client Overview'!A14</x:f>
        <x:v>Organization 9</x:v>
      </x:c>
      <x:c r="B50" s="371" t="str">
        <x:v>Evidence Review</x:v>
      </x:c>
      <x:c r="C50" s="404" t="n">
        <x:f>IF('Client Overview'!F14="","",'Client Overview'!F14)</x:f>
        <x:v>46174</x:v>
      </x:c>
      <x:c r="D50" s="371" t="n">
        <x:f>'Client Overview'!M7</x:f>
        <x:v>12</x:v>
      </x:c>
      <x:c r="E50" s="404" t="n">
        <x:f>IF('Client Overview'!G14="","",'Client Overview'!G14)</x:f>
        <x:v>46539</x:v>
      </x:c>
      <x:c r="F50" s="405" t="n">
        <x:f>IF(E50="","",E50-TODAY())</x:f>
        <x:v>258</x:v>
      </x:c>
      <x:c r="G50" s="371" t="str">
        <x:f>IF(E50="","No Date",IF(F50&lt;='Client Overview'!O7*30.4375,"Red",IF(F50&lt;='Client Overview'!N7*30.4375,"Yellow","Green")))</x:f>
        <x:v>Green</x:v>
      </x:c>
    </x:row>
    <x:row r="51" ht="22" customHeight="1">
      <x:c r="A51" s="371" t="str">
        <x:f>'Client Overview'!A14</x:f>
        <x:v>Organization 9</x:v>
      </x:c>
      <x:c r="B51" s="371" t="str">
        <x:v>CIP Monthly Questions</x:v>
      </x:c>
      <x:c r="C51" s="404" t="str">
        <x:f>IF('Client Overview'!H14="","",'Client Overview'!H14)</x:f>
      </x:c>
      <x:c r="D51" s="371" t="n">
        <x:f>'Client Overview'!M8</x:f>
        <x:v>1</x:v>
      </x:c>
      <x:c r="E51" s="404" t="str">
        <x:f>IF('Client Overview'!I14="","",'Client Overview'!I14)</x:f>
      </x:c>
      <x:c r="F51" s="405" t="str">
        <x:f>IF(E51="","",E51-TODAY())</x:f>
      </x:c>
      <x:c r="G51" s="371" t="str">
        <x:f>IF(E51="","No Date",IF(F51&lt;='Client Overview'!O8*30.4375,"Red",IF(F51&lt;='Client Overview'!N8*30.4375,"Yellow","Green")))</x:f>
        <x:v>No Date</x:v>
      </x:c>
    </x:row>
    <x:row r="52" ht="22" customHeight="1">
      <x:c r="A52" s="371" t="str">
        <x:f>'Client Overview'!A15</x:f>
        <x:v>Organization 10</x:v>
      </x:c>
      <x:c r="B52" s="371" t="str">
        <x:v>Annual Review</x:v>
      </x:c>
      <x:c r="C52" s="404" t="n">
        <x:f>IF('Client Overview'!B15="","",'Client Overview'!B15)</x:f>
        <x:v>46037</x:v>
      </x:c>
      <x:c r="D52" s="371" t="n">
        <x:f>'Client Overview'!M5</x:f>
        <x:v>15</x:v>
      </x:c>
      <x:c r="E52" s="404" t="n">
        <x:f>IF('Client Overview'!C15="","",'Client Overview'!C15)</x:f>
        <x:v>46492</x:v>
      </x:c>
      <x:c r="F52" s="405" t="n">
        <x:f>IF(E52="","",E52-TODAY())</x:f>
        <x:v>211</x:v>
      </x:c>
      <x:c r="G52" s="371" t="str">
        <x:f>IF(E52="","No Date",IF(F52&lt;='Client Overview'!O5*30.4375,"Red",IF(F52&lt;='Client Overview'!N5*30.4375,"Yellow","Green")))</x:f>
        <x:v>Green</x:v>
      </x:c>
    </x:row>
    <x:row r="53" ht="22" customHeight="1">
      <x:c r="A53" s="371" t="str">
        <x:f>'Client Overview'!A15</x:f>
        <x:v>Organization 10</x:v>
      </x:c>
      <x:c r="B53" s="371" t="str">
        <x:v>CSIRP Tabletop Completion</x:v>
      </x:c>
      <x:c r="C53" s="404" t="n">
        <x:f>IF('Client Overview'!D15="","",'Client Overview'!D15)</x:f>
        <x:v>45214</x:v>
      </x:c>
      <x:c r="D53" s="371" t="n">
        <x:f>'Client Overview'!M6</x:f>
        <x:v>36</x:v>
      </x:c>
      <x:c r="E53" s="404" t="n">
        <x:f>IF('Client Overview'!E15="","",'Client Overview'!E15)</x:f>
        <x:v>46310</x:v>
      </x:c>
      <x:c r="F53" s="405" t="n">
        <x:f>IF(E53="","",E53-TODAY())</x:f>
        <x:v>29</x:v>
      </x:c>
      <x:c r="G53" s="371" t="str">
        <x:f>IF(E53="","No Date",IF(F53&lt;='Client Overview'!O6*30.4375,"Red",IF(F53&lt;='Client Overview'!N6*30.4375,"Yellow","Green")))</x:f>
        <x:v>Red</x:v>
      </x:c>
    </x:row>
    <x:row r="54" ht="22" customHeight="1">
      <x:c r="A54" s="371" t="str">
        <x:f>'Client Overview'!A15</x:f>
        <x:v>Organization 10</x:v>
      </x:c>
      <x:c r="B54" s="371" t="str">
        <x:v>Evidence Review</x:v>
      </x:c>
      <x:c r="C54" s="404" t="n">
        <x:f>IF('Client Overview'!F15="","",'Client Overview'!F15)</x:f>
        <x:v>46174</x:v>
      </x:c>
      <x:c r="D54" s="371" t="n">
        <x:f>'Client Overview'!M7</x:f>
        <x:v>12</x:v>
      </x:c>
      <x:c r="E54" s="404" t="n">
        <x:f>IF('Client Overview'!G15="","",'Client Overview'!G15)</x:f>
        <x:v>46539</x:v>
      </x:c>
      <x:c r="F54" s="405" t="n">
        <x:f>IF(E54="","",E54-TODAY())</x:f>
        <x:v>258</x:v>
      </x:c>
      <x:c r="G54" s="371" t="str">
        <x:f>IF(E54="","No Date",IF(F54&lt;='Client Overview'!O7*30.4375,"Red",IF(F54&lt;='Client Overview'!N7*30.4375,"Yellow","Green")))</x:f>
        <x:v>Green</x:v>
      </x:c>
    </x:row>
    <x:row r="55" ht="22" customHeight="1">
      <x:c r="A55" s="371" t="str">
        <x:f>'Client Overview'!A15</x:f>
        <x:v>Organization 10</x:v>
      </x:c>
      <x:c r="B55" s="371" t="str">
        <x:v>CIP Monthly Questions</x:v>
      </x:c>
      <x:c r="C55" s="404" t="str">
        <x:f>IF('Client Overview'!H15="","",'Client Overview'!H15)</x:f>
      </x:c>
      <x:c r="D55" s="371" t="n">
        <x:f>'Client Overview'!M8</x:f>
        <x:v>1</x:v>
      </x:c>
      <x:c r="E55" s="404" t="str">
        <x:f>IF('Client Overview'!I15="","",'Client Overview'!I15)</x:f>
      </x:c>
      <x:c r="F55" s="405" t="str">
        <x:f>IF(E55="","",E55-TODAY())</x:f>
      </x:c>
      <x:c r="G55" s="371" t="str">
        <x:f>IF(E55="","No Date",IF(F55&lt;='Client Overview'!O8*30.4375,"Red",IF(F55&lt;='Client Overview'!N8*30.4375,"Yellow","Green")))</x:f>
        <x:v>No Date</x:v>
      </x:c>
    </x:row>
    <x:row r="56" ht="22" customHeight="1">
      <x:c r="A56" s="371" t="str">
        <x:f>'Client Overview'!A16</x:f>
        <x:v>Organization 11</x:v>
      </x:c>
      <x:c r="B56" s="371" t="str">
        <x:v>Annual Review</x:v>
      </x:c>
      <x:c r="C56" s="404" t="n">
        <x:f>IF('Client Overview'!B16="","",'Client Overview'!B16)</x:f>
        <x:v>46037</x:v>
      </x:c>
      <x:c r="D56" s="371" t="n">
        <x:f>'Client Overview'!M5</x:f>
        <x:v>15</x:v>
      </x:c>
      <x:c r="E56" s="404" t="n">
        <x:f>IF('Client Overview'!C16="","",'Client Overview'!C16)</x:f>
        <x:v>46492</x:v>
      </x:c>
      <x:c r="F56" s="405" t="n">
        <x:f>IF(E56="","",E56-TODAY())</x:f>
        <x:v>211</x:v>
      </x:c>
      <x:c r="G56" s="371" t="str">
        <x:f>IF(E56="","No Date",IF(F56&lt;='Client Overview'!O5*30.4375,"Red",IF(F56&lt;='Client Overview'!N5*30.4375,"Yellow","Green")))</x:f>
        <x:v>Green</x:v>
      </x:c>
    </x:row>
    <x:row r="57" ht="22" customHeight="1">
      <x:c r="A57" s="371" t="str">
        <x:f>'Client Overview'!A16</x:f>
        <x:v>Organization 11</x:v>
      </x:c>
      <x:c r="B57" s="371" t="str">
        <x:v>CSIRP Tabletop Completion</x:v>
      </x:c>
      <x:c r="C57" s="404" t="n">
        <x:f>IF('Client Overview'!D16="","",'Client Overview'!D16)</x:f>
        <x:v>45214</x:v>
      </x:c>
      <x:c r="D57" s="371" t="n">
        <x:f>'Client Overview'!M6</x:f>
        <x:v>36</x:v>
      </x:c>
      <x:c r="E57" s="404" t="n">
        <x:f>IF('Client Overview'!E16="","",'Client Overview'!E16)</x:f>
        <x:v>46310</x:v>
      </x:c>
      <x:c r="F57" s="405" t="n">
        <x:f>IF(E57="","",E57-TODAY())</x:f>
        <x:v>29</x:v>
      </x:c>
      <x:c r="G57" s="371" t="str">
        <x:f>IF(E57="","No Date",IF(F57&lt;='Client Overview'!O6*30.4375,"Red",IF(F57&lt;='Client Overview'!N6*30.4375,"Yellow","Green")))</x:f>
        <x:v>Red</x:v>
      </x:c>
    </x:row>
    <x:row r="58" ht="22" customHeight="1">
      <x:c r="A58" s="371" t="str">
        <x:f>'Client Overview'!A16</x:f>
        <x:v>Organization 11</x:v>
      </x:c>
      <x:c r="B58" s="371" t="str">
        <x:v>Evidence Review</x:v>
      </x:c>
      <x:c r="C58" s="404" t="n">
        <x:f>IF('Client Overview'!F16="","",'Client Overview'!F16)</x:f>
        <x:v>46174</x:v>
      </x:c>
      <x:c r="D58" s="371" t="n">
        <x:f>'Client Overview'!M7</x:f>
        <x:v>12</x:v>
      </x:c>
      <x:c r="E58" s="404" t="n">
        <x:f>IF('Client Overview'!G16="","",'Client Overview'!G16)</x:f>
        <x:v>46539</x:v>
      </x:c>
      <x:c r="F58" s="405" t="n">
        <x:f>IF(E58="","",E58-TODAY())</x:f>
        <x:v>258</x:v>
      </x:c>
      <x:c r="G58" s="371" t="str">
        <x:f>IF(E58="","No Date",IF(F58&lt;='Client Overview'!O7*30.4375,"Red",IF(F58&lt;='Client Overview'!N7*30.4375,"Yellow","Green")))</x:f>
        <x:v>Green</x:v>
      </x:c>
    </x:row>
    <x:row r="59" ht="22" customHeight="1">
      <x:c r="A59" s="371" t="str">
        <x:f>'Client Overview'!A16</x:f>
        <x:v>Organization 11</x:v>
      </x:c>
      <x:c r="B59" s="371" t="str">
        <x:v>CIP Monthly Questions</x:v>
      </x:c>
      <x:c r="C59" s="404" t="str">
        <x:f>IF('Client Overview'!H16="","",'Client Overview'!H16)</x:f>
      </x:c>
      <x:c r="D59" s="371" t="n">
        <x:f>'Client Overview'!M8</x:f>
        <x:v>1</x:v>
      </x:c>
      <x:c r="E59" s="404" t="str">
        <x:f>IF('Client Overview'!I16="","",'Client Overview'!I16)</x:f>
      </x:c>
      <x:c r="F59" s="405" t="str">
        <x:f>IF(E59="","",E59-TODAY())</x:f>
      </x:c>
      <x:c r="G59" s="371" t="str">
        <x:f>IF(E59="","No Date",IF(F59&lt;='Client Overview'!O8*30.4375,"Red",IF(F59&lt;='Client Overview'!N8*30.4375,"Yellow","Green")))</x:f>
        <x:v>No Date</x:v>
      </x:c>
    </x:row>
    <x:row r="60" ht="22" customHeight="1">
      <x:c r="A60" s="371" t="str">
        <x:f>'Client Overview'!A17</x:f>
        <x:v>Organization 12</x:v>
      </x:c>
      <x:c r="B60" s="371" t="str">
        <x:v>Annual Review</x:v>
      </x:c>
      <x:c r="C60" s="404" t="n">
        <x:f>IF('Client Overview'!B17="","",'Client Overview'!B17)</x:f>
        <x:v>46037</x:v>
      </x:c>
      <x:c r="D60" s="371" t="n">
        <x:f>'Client Overview'!M5</x:f>
        <x:v>15</x:v>
      </x:c>
      <x:c r="E60" s="404" t="n">
        <x:f>IF('Client Overview'!C17="","",'Client Overview'!C17)</x:f>
        <x:v>46492</x:v>
      </x:c>
      <x:c r="F60" s="405" t="n">
        <x:f>IF(E60="","",E60-TODAY())</x:f>
        <x:v>211</x:v>
      </x:c>
      <x:c r="G60" s="371" t="str">
        <x:f>IF(E60="","No Date",IF(F60&lt;='Client Overview'!O5*30.4375,"Red",IF(F60&lt;='Client Overview'!N5*30.4375,"Yellow","Green")))</x:f>
        <x:v>Green</x:v>
      </x:c>
    </x:row>
    <x:row r="61" ht="22" customHeight="1">
      <x:c r="A61" s="371" t="str">
        <x:f>'Client Overview'!A17</x:f>
        <x:v>Organization 12</x:v>
      </x:c>
      <x:c r="B61" s="371" t="str">
        <x:v>CSIRP Tabletop Completion</x:v>
      </x:c>
      <x:c r="C61" s="404" t="n">
        <x:f>IF('Client Overview'!D17="","",'Client Overview'!D17)</x:f>
        <x:v>45214</x:v>
      </x:c>
      <x:c r="D61" s="371" t="n">
        <x:f>'Client Overview'!M6</x:f>
        <x:v>36</x:v>
      </x:c>
      <x:c r="E61" s="404" t="n">
        <x:f>IF('Client Overview'!E17="","",'Client Overview'!E17)</x:f>
        <x:v>46310</x:v>
      </x:c>
      <x:c r="F61" s="405" t="n">
        <x:f>IF(E61="","",E61-TODAY())</x:f>
        <x:v>29</x:v>
      </x:c>
      <x:c r="G61" s="371" t="str">
        <x:f>IF(E61="","No Date",IF(F61&lt;='Client Overview'!O6*30.4375,"Red",IF(F61&lt;='Client Overview'!N6*30.4375,"Yellow","Green")))</x:f>
        <x:v>Red</x:v>
      </x:c>
    </x:row>
    <x:row r="62" ht="22" customHeight="1">
      <x:c r="A62" s="371" t="str">
        <x:f>'Client Overview'!A17</x:f>
        <x:v>Organization 12</x:v>
      </x:c>
      <x:c r="B62" s="371" t="str">
        <x:v>Evidence Review</x:v>
      </x:c>
      <x:c r="C62" s="404" t="n">
        <x:f>IF('Client Overview'!F17="","",'Client Overview'!F17)</x:f>
        <x:v>46174</x:v>
      </x:c>
      <x:c r="D62" s="371" t="n">
        <x:f>'Client Overview'!M7</x:f>
        <x:v>12</x:v>
      </x:c>
      <x:c r="E62" s="404" t="n">
        <x:f>IF('Client Overview'!G17="","",'Client Overview'!G17)</x:f>
        <x:v>46539</x:v>
      </x:c>
      <x:c r="F62" s="405" t="n">
        <x:f>IF(E62="","",E62-TODAY())</x:f>
        <x:v>258</x:v>
      </x:c>
      <x:c r="G62" s="371" t="str">
        <x:f>IF(E62="","No Date",IF(F62&lt;='Client Overview'!O7*30.4375,"Red",IF(F62&lt;='Client Overview'!N7*30.4375,"Yellow","Green")))</x:f>
        <x:v>Green</x:v>
      </x:c>
    </x:row>
    <x:row r="63" ht="22" customHeight="1">
      <x:c r="A63" s="371" t="str">
        <x:f>'Client Overview'!A17</x:f>
        <x:v>Organization 12</x:v>
      </x:c>
      <x:c r="B63" s="371" t="str">
        <x:v>CIP Monthly Questions</x:v>
      </x:c>
      <x:c r="C63" s="404" t="str">
        <x:f>IF('Client Overview'!H17="","",'Client Overview'!H17)</x:f>
      </x:c>
      <x:c r="D63" s="371" t="n">
        <x:f>'Client Overview'!M8</x:f>
        <x:v>1</x:v>
      </x:c>
      <x:c r="E63" s="404" t="str">
        <x:f>IF('Client Overview'!I17="","",'Client Overview'!I17)</x:f>
      </x:c>
      <x:c r="F63" s="405" t="str">
        <x:f>IF(E63="","",E63-TODAY())</x:f>
      </x:c>
      <x:c r="G63" s="371" t="str">
        <x:f>IF(E63="","No Date",IF(F63&lt;='Client Overview'!O8*30.4375,"Red",IF(F63&lt;='Client Overview'!N8*30.4375,"Yellow","Green")))</x:f>
        <x:v>No Date</x:v>
      </x:c>
    </x:row>
    <x:row r="64" ht="22" customHeight="1">
      <x:c r="A64" s="371" t="str">
        <x:f>'Client Overview'!A18</x:f>
        <x:v>Organization 13</x:v>
      </x:c>
      <x:c r="B64" s="371" t="str">
        <x:v>Annual Review</x:v>
      </x:c>
      <x:c r="C64" s="404" t="n">
        <x:f>IF('Client Overview'!B18="","",'Client Overview'!B18)</x:f>
        <x:v>46037</x:v>
      </x:c>
      <x:c r="D64" s="371" t="n">
        <x:f>'Client Overview'!M5</x:f>
        <x:v>15</x:v>
      </x:c>
      <x:c r="E64" s="404" t="n">
        <x:f>IF('Client Overview'!C18="","",'Client Overview'!C18)</x:f>
        <x:v>46492</x:v>
      </x:c>
      <x:c r="F64" s="405" t="n">
        <x:f>IF(E64="","",E64-TODAY())</x:f>
        <x:v>211</x:v>
      </x:c>
      <x:c r="G64" s="371" t="str">
        <x:f>IF(E64="","No Date",IF(F64&lt;='Client Overview'!O5*30.4375,"Red",IF(F64&lt;='Client Overview'!N5*30.4375,"Yellow","Green")))</x:f>
        <x:v>Green</x:v>
      </x:c>
    </x:row>
    <x:row r="65" ht="22" customHeight="1">
      <x:c r="A65" s="371" t="str">
        <x:f>'Client Overview'!A18</x:f>
        <x:v>Organization 13</x:v>
      </x:c>
      <x:c r="B65" s="371" t="str">
        <x:v>CSIRP Tabletop Completion</x:v>
      </x:c>
      <x:c r="C65" s="404" t="n">
        <x:f>IF('Client Overview'!D18="","",'Client Overview'!D18)</x:f>
        <x:v>45214</x:v>
      </x:c>
      <x:c r="D65" s="371" t="n">
        <x:f>'Client Overview'!M6</x:f>
        <x:v>36</x:v>
      </x:c>
      <x:c r="E65" s="404" t="n">
        <x:f>IF('Client Overview'!E18="","",'Client Overview'!E18)</x:f>
        <x:v>46310</x:v>
      </x:c>
      <x:c r="F65" s="405" t="n">
        <x:f>IF(E65="","",E65-TODAY())</x:f>
        <x:v>29</x:v>
      </x:c>
      <x:c r="G65" s="371" t="str">
        <x:f>IF(E65="","No Date",IF(F65&lt;='Client Overview'!O6*30.4375,"Red",IF(F65&lt;='Client Overview'!N6*30.4375,"Yellow","Green")))</x:f>
        <x:v>Red</x:v>
      </x:c>
    </x:row>
    <x:row r="66" ht="22" customHeight="1">
      <x:c r="A66" s="371" t="str">
        <x:f>'Client Overview'!A18</x:f>
        <x:v>Organization 13</x:v>
      </x:c>
      <x:c r="B66" s="371" t="str">
        <x:v>Evidence Review</x:v>
      </x:c>
      <x:c r="C66" s="404" t="n">
        <x:f>IF('Client Overview'!F18="","",'Client Overview'!F18)</x:f>
        <x:v>46174</x:v>
      </x:c>
      <x:c r="D66" s="371" t="n">
        <x:f>'Client Overview'!M7</x:f>
        <x:v>12</x:v>
      </x:c>
      <x:c r="E66" s="404" t="n">
        <x:f>IF('Client Overview'!G18="","",'Client Overview'!G18)</x:f>
        <x:v>46539</x:v>
      </x:c>
      <x:c r="F66" s="405" t="n">
        <x:f>IF(E66="","",E66-TODAY())</x:f>
        <x:v>258</x:v>
      </x:c>
      <x:c r="G66" s="371" t="str">
        <x:f>IF(E66="","No Date",IF(F66&lt;='Client Overview'!O7*30.4375,"Red",IF(F66&lt;='Client Overview'!N7*30.4375,"Yellow","Green")))</x:f>
        <x:v>Green</x:v>
      </x:c>
    </x:row>
    <x:row r="67" ht="22" customHeight="1">
      <x:c r="A67" s="371" t="str">
        <x:f>'Client Overview'!A18</x:f>
        <x:v>Organization 13</x:v>
      </x:c>
      <x:c r="B67" s="371" t="str">
        <x:v>CIP Monthly Questions</x:v>
      </x:c>
      <x:c r="C67" s="404" t="str">
        <x:f>IF('Client Overview'!H18="","",'Client Overview'!H18)</x:f>
      </x:c>
      <x:c r="D67" s="371" t="n">
        <x:f>'Client Overview'!M8</x:f>
        <x:v>1</x:v>
      </x:c>
      <x:c r="E67" s="404" t="str">
        <x:f>IF('Client Overview'!I18="","",'Client Overview'!I18)</x:f>
      </x:c>
      <x:c r="F67" s="405" t="str">
        <x:f>IF(E67="","",E67-TODAY())</x:f>
      </x:c>
      <x:c r="G67" s="371" t="str">
        <x:f>IF(E67="","No Date",IF(F67&lt;='Client Overview'!O8*30.4375,"Red",IF(F67&lt;='Client Overview'!N8*30.4375,"Yellow","Green")))</x:f>
        <x:v>No Date</x:v>
      </x:c>
    </x:row>
    <x:row r="68" ht="22" customHeight="1">
      <x:c r="A68" s="371" t="str">
        <x:f>'Client Overview'!A19</x:f>
        <x:v>Organization 14</x:v>
      </x:c>
      <x:c r="B68" s="371" t="str">
        <x:v>Annual Review</x:v>
      </x:c>
      <x:c r="C68" s="404" t="n">
        <x:f>IF('Client Overview'!B19="","",'Client Overview'!B19)</x:f>
        <x:v>46037</x:v>
      </x:c>
      <x:c r="D68" s="371" t="n">
        <x:f>'Client Overview'!M5</x:f>
        <x:v>15</x:v>
      </x:c>
      <x:c r="E68" s="404" t="n">
        <x:f>IF('Client Overview'!C19="","",'Client Overview'!C19)</x:f>
        <x:v>46492</x:v>
      </x:c>
      <x:c r="F68" s="405" t="n">
        <x:f>IF(E68="","",E68-TODAY())</x:f>
        <x:v>211</x:v>
      </x:c>
      <x:c r="G68" s="371" t="str">
        <x:f>IF(E68="","No Date",IF(F68&lt;='Client Overview'!O5*30.4375,"Red",IF(F68&lt;='Client Overview'!N5*30.4375,"Yellow","Green")))</x:f>
        <x:v>Green</x:v>
      </x:c>
    </x:row>
    <x:row r="69" ht="22" customHeight="1">
      <x:c r="A69" s="371" t="str">
        <x:f>'Client Overview'!A19</x:f>
        <x:v>Organization 14</x:v>
      </x:c>
      <x:c r="B69" s="371" t="str">
        <x:v>CSIRP Tabletop Completion</x:v>
      </x:c>
      <x:c r="C69" s="404" t="n">
        <x:f>IF('Client Overview'!D19="","",'Client Overview'!D19)</x:f>
        <x:v>45214</x:v>
      </x:c>
      <x:c r="D69" s="371" t="n">
        <x:f>'Client Overview'!M6</x:f>
        <x:v>36</x:v>
      </x:c>
      <x:c r="E69" s="404" t="n">
        <x:f>IF('Client Overview'!E19="","",'Client Overview'!E19)</x:f>
        <x:v>46310</x:v>
      </x:c>
      <x:c r="F69" s="405" t="n">
        <x:f>IF(E69="","",E69-TODAY())</x:f>
        <x:v>29</x:v>
      </x:c>
      <x:c r="G69" s="371" t="str">
        <x:f>IF(E69="","No Date",IF(F69&lt;='Client Overview'!O6*30.4375,"Red",IF(F69&lt;='Client Overview'!N6*30.4375,"Yellow","Green")))</x:f>
        <x:v>Red</x:v>
      </x:c>
    </x:row>
    <x:row r="70" ht="22" customHeight="1">
      <x:c r="A70" s="371" t="str">
        <x:f>'Client Overview'!A19</x:f>
        <x:v>Organization 14</x:v>
      </x:c>
      <x:c r="B70" s="371" t="str">
        <x:v>Evidence Review</x:v>
      </x:c>
      <x:c r="C70" s="404" t="n">
        <x:f>IF('Client Overview'!F19="","",'Client Overview'!F19)</x:f>
        <x:v>46174</x:v>
      </x:c>
      <x:c r="D70" s="371" t="n">
        <x:f>'Client Overview'!M7</x:f>
        <x:v>12</x:v>
      </x:c>
      <x:c r="E70" s="404" t="n">
        <x:f>IF('Client Overview'!G19="","",'Client Overview'!G19)</x:f>
        <x:v>46539</x:v>
      </x:c>
      <x:c r="F70" s="405" t="n">
        <x:f>IF(E70="","",E70-TODAY())</x:f>
        <x:v>258</x:v>
      </x:c>
      <x:c r="G70" s="371" t="str">
        <x:f>IF(E70="","No Date",IF(F70&lt;='Client Overview'!O7*30.4375,"Red",IF(F70&lt;='Client Overview'!N7*30.4375,"Yellow","Green")))</x:f>
        <x:v>Green</x:v>
      </x:c>
    </x:row>
    <x:row r="71" ht="22" customHeight="1">
      <x:c r="A71" s="371" t="str">
        <x:f>'Client Overview'!A19</x:f>
        <x:v>Organization 14</x:v>
      </x:c>
      <x:c r="B71" s="371" t="str">
        <x:v>CIP Monthly Questions</x:v>
      </x:c>
      <x:c r="C71" s="404" t="str">
        <x:f>IF('Client Overview'!H19="","",'Client Overview'!H19)</x:f>
      </x:c>
      <x:c r="D71" s="371" t="n">
        <x:f>'Client Overview'!M8</x:f>
        <x:v>1</x:v>
      </x:c>
      <x:c r="E71" s="404" t="str">
        <x:f>IF('Client Overview'!I19="","",'Client Overview'!I19)</x:f>
      </x:c>
      <x:c r="F71" s="405" t="str">
        <x:f>IF(E71="","",E71-TODAY())</x:f>
      </x:c>
      <x:c r="G71" s="371" t="str">
        <x:f>IF(E71="","No Date",IF(F71&lt;='Client Overview'!O8*30.4375,"Red",IF(F71&lt;='Client Overview'!N8*30.4375,"Yellow","Green")))</x:f>
        <x:v>No Date</x:v>
      </x:c>
    </x:row>
    <x:row r="72" ht="22" customHeight="1">
      <x:c r="A72" s="371" t="str">
        <x:f>'Client Overview'!A20</x:f>
        <x:v>Organization 15</x:v>
      </x:c>
      <x:c r="B72" s="371" t="str">
        <x:v>Annual Review</x:v>
      </x:c>
      <x:c r="C72" s="404" t="n">
        <x:f>IF('Client Overview'!B20="","",'Client Overview'!B20)</x:f>
        <x:v>46037</x:v>
      </x:c>
      <x:c r="D72" s="371" t="n">
        <x:f>'Client Overview'!M5</x:f>
        <x:v>15</x:v>
      </x:c>
      <x:c r="E72" s="404" t="n">
        <x:f>IF('Client Overview'!C20="","",'Client Overview'!C20)</x:f>
        <x:v>46492</x:v>
      </x:c>
      <x:c r="F72" s="405" t="n">
        <x:f>IF(E72="","",E72-TODAY())</x:f>
        <x:v>211</x:v>
      </x:c>
      <x:c r="G72" s="371" t="str">
        <x:f>IF(E72="","No Date",IF(F72&lt;='Client Overview'!O5*30.4375,"Red",IF(F72&lt;='Client Overview'!N5*30.4375,"Yellow","Green")))</x:f>
        <x:v>Green</x:v>
      </x:c>
    </x:row>
    <x:row r="73" ht="22" customHeight="1">
      <x:c r="A73" s="371" t="str">
        <x:f>'Client Overview'!A20</x:f>
        <x:v>Organization 15</x:v>
      </x:c>
      <x:c r="B73" s="371" t="str">
        <x:v>CSIRP Tabletop Completion</x:v>
      </x:c>
      <x:c r="C73" s="404" t="n">
        <x:f>IF('Client Overview'!D20="","",'Client Overview'!D20)</x:f>
        <x:v>45214</x:v>
      </x:c>
      <x:c r="D73" s="371" t="n">
        <x:f>'Client Overview'!M6</x:f>
        <x:v>36</x:v>
      </x:c>
      <x:c r="E73" s="404" t="n">
        <x:f>IF('Client Overview'!E20="","",'Client Overview'!E20)</x:f>
        <x:v>46310</x:v>
      </x:c>
      <x:c r="F73" s="405" t="n">
        <x:f>IF(E73="","",E73-TODAY())</x:f>
        <x:v>29</x:v>
      </x:c>
      <x:c r="G73" s="371" t="str">
        <x:f>IF(E73="","No Date",IF(F73&lt;='Client Overview'!O6*30.4375,"Red",IF(F73&lt;='Client Overview'!N6*30.4375,"Yellow","Green")))</x:f>
        <x:v>Red</x:v>
      </x:c>
    </x:row>
    <x:row r="74" ht="22" customHeight="1">
      <x:c r="A74" s="371" t="str">
        <x:f>'Client Overview'!A20</x:f>
        <x:v>Organization 15</x:v>
      </x:c>
      <x:c r="B74" s="371" t="str">
        <x:v>Evidence Review</x:v>
      </x:c>
      <x:c r="C74" s="404" t="n">
        <x:f>IF('Client Overview'!F20="","",'Client Overview'!F20)</x:f>
        <x:v>46174</x:v>
      </x:c>
      <x:c r="D74" s="371" t="n">
        <x:f>'Client Overview'!M7</x:f>
        <x:v>12</x:v>
      </x:c>
      <x:c r="E74" s="404" t="n">
        <x:f>IF('Client Overview'!G20="","",'Client Overview'!G20)</x:f>
        <x:v>46539</x:v>
      </x:c>
      <x:c r="F74" s="405" t="n">
        <x:f>IF(E74="","",E74-TODAY())</x:f>
        <x:v>258</x:v>
      </x:c>
      <x:c r="G74" s="371" t="str">
        <x:f>IF(E74="","No Date",IF(F74&lt;='Client Overview'!O7*30.4375,"Red",IF(F74&lt;='Client Overview'!N7*30.4375,"Yellow","Green")))</x:f>
        <x:v>Green</x:v>
      </x:c>
    </x:row>
    <x:row r="75" ht="22" customHeight="1">
      <x:c r="A75" s="371" t="str">
        <x:f>'Client Overview'!A20</x:f>
        <x:v>Organization 15</x:v>
      </x:c>
      <x:c r="B75" s="371" t="str">
        <x:v>CIP Monthly Questions</x:v>
      </x:c>
      <x:c r="C75" s="404" t="str">
        <x:f>IF('Client Overview'!H20="","",'Client Overview'!H20)</x:f>
      </x:c>
      <x:c r="D75" s="371" t="n">
        <x:f>'Client Overview'!M8</x:f>
        <x:v>1</x:v>
      </x:c>
      <x:c r="E75" s="404" t="str">
        <x:f>IF('Client Overview'!I20="","",'Client Overview'!I20)</x:f>
      </x:c>
      <x:c r="F75" s="405" t="str">
        <x:f>IF(E75="","",E75-TODAY())</x:f>
      </x:c>
      <x:c r="G75" s="371" t="str">
        <x:f>IF(E75="","No Date",IF(F75&lt;='Client Overview'!O8*30.4375,"Red",IF(F75&lt;='Client Overview'!N8*30.4375,"Yellow","Green")))</x:f>
        <x:v>No Date</x:v>
      </x:c>
    </x:row>
    <x:row r="76" ht="22" customHeight="1">
      <x:c r="A76" s="371" t="str">
        <x:f>'Client Overview'!A21</x:f>
        <x:v>Organization 16</x:v>
      </x:c>
      <x:c r="B76" s="371" t="str">
        <x:v>Annual Review</x:v>
      </x:c>
      <x:c r="C76" s="404" t="n">
        <x:f>IF('Client Overview'!B21="","",'Client Overview'!B21)</x:f>
        <x:v>46037</x:v>
      </x:c>
      <x:c r="D76" s="371" t="n">
        <x:f>'Client Overview'!M5</x:f>
        <x:v>15</x:v>
      </x:c>
      <x:c r="E76" s="404" t="n">
        <x:f>IF('Client Overview'!C21="","",'Client Overview'!C21)</x:f>
        <x:v>46492</x:v>
      </x:c>
      <x:c r="F76" s="405" t="n">
        <x:f>IF(E76="","",E76-TODAY())</x:f>
        <x:v>211</x:v>
      </x:c>
      <x:c r="G76" s="371" t="str">
        <x:f>IF(E76="","No Date",IF(F76&lt;='Client Overview'!O5*30.4375,"Red",IF(F76&lt;='Client Overview'!N5*30.4375,"Yellow","Green")))</x:f>
        <x:v>Green</x:v>
      </x:c>
    </x:row>
    <x:row r="77" ht="22" customHeight="1">
      <x:c r="A77" s="371" t="str">
        <x:f>'Client Overview'!A21</x:f>
        <x:v>Organization 16</x:v>
      </x:c>
      <x:c r="B77" s="371" t="str">
        <x:v>CSIRP Tabletop Completion</x:v>
      </x:c>
      <x:c r="C77" s="404" t="n">
        <x:f>IF('Client Overview'!D21="","",'Client Overview'!D21)</x:f>
        <x:v>45214</x:v>
      </x:c>
      <x:c r="D77" s="371" t="n">
        <x:f>'Client Overview'!M6</x:f>
        <x:v>36</x:v>
      </x:c>
      <x:c r="E77" s="404" t="n">
        <x:f>IF('Client Overview'!E21="","",'Client Overview'!E21)</x:f>
        <x:v>46310</x:v>
      </x:c>
      <x:c r="F77" s="405" t="n">
        <x:f>IF(E77="","",E77-TODAY())</x:f>
        <x:v>29</x:v>
      </x:c>
      <x:c r="G77" s="371" t="str">
        <x:f>IF(E77="","No Date",IF(F77&lt;='Client Overview'!O6*30.4375,"Red",IF(F77&lt;='Client Overview'!N6*30.4375,"Yellow","Green")))</x:f>
        <x:v>Red</x:v>
      </x:c>
    </x:row>
    <x:row r="78" ht="22" customHeight="1">
      <x:c r="A78" s="371" t="str">
        <x:f>'Client Overview'!A21</x:f>
        <x:v>Organization 16</x:v>
      </x:c>
      <x:c r="B78" s="371" t="str">
        <x:v>Evidence Review</x:v>
      </x:c>
      <x:c r="C78" s="404" t="n">
        <x:f>IF('Client Overview'!F21="","",'Client Overview'!F21)</x:f>
        <x:v>46174</x:v>
      </x:c>
      <x:c r="D78" s="371" t="n">
        <x:f>'Client Overview'!M7</x:f>
        <x:v>12</x:v>
      </x:c>
      <x:c r="E78" s="404" t="n">
        <x:f>IF('Client Overview'!G21="","",'Client Overview'!G21)</x:f>
        <x:v>46539</x:v>
      </x:c>
      <x:c r="F78" s="405" t="n">
        <x:f>IF(E78="","",E78-TODAY())</x:f>
        <x:v>258</x:v>
      </x:c>
      <x:c r="G78" s="371" t="str">
        <x:f>IF(E78="","No Date",IF(F78&lt;='Client Overview'!O7*30.4375,"Red",IF(F78&lt;='Client Overview'!N7*30.4375,"Yellow","Green")))</x:f>
        <x:v>Green</x:v>
      </x:c>
    </x:row>
    <x:row r="79" ht="22" customHeight="1">
      <x:c r="A79" s="371" t="str">
        <x:f>'Client Overview'!A21</x:f>
        <x:v>Organization 16</x:v>
      </x:c>
      <x:c r="B79" s="371" t="str">
        <x:v>CIP Monthly Questions</x:v>
      </x:c>
      <x:c r="C79" s="404" t="str">
        <x:f>IF('Client Overview'!H21="","",'Client Overview'!H21)</x:f>
      </x:c>
      <x:c r="D79" s="371" t="n">
        <x:f>'Client Overview'!M8</x:f>
        <x:v>1</x:v>
      </x:c>
      <x:c r="E79" s="404" t="str">
        <x:f>IF('Client Overview'!I21="","",'Client Overview'!I21)</x:f>
      </x:c>
      <x:c r="F79" s="405" t="str">
        <x:f>IF(E79="","",E79-TODAY())</x:f>
      </x:c>
      <x:c r="G79" s="371" t="str">
        <x:f>IF(E79="","No Date",IF(F79&lt;='Client Overview'!O8*30.4375,"Red",IF(F79&lt;='Client Overview'!N8*30.4375,"Yellow","Green")))</x:f>
        <x:v>No Date</x:v>
      </x:c>
    </x:row>
    <x:row r="80" ht="22" customHeight="1">
      <x:c r="A80" s="371" t="str">
        <x:f>'Client Overview'!A22</x:f>
        <x:v>Organization 17</x:v>
      </x:c>
      <x:c r="B80" s="371" t="str">
        <x:v>Annual Review</x:v>
      </x:c>
      <x:c r="C80" s="404" t="n">
        <x:f>IF('Client Overview'!B22="","",'Client Overview'!B22)</x:f>
        <x:v>46037</x:v>
      </x:c>
      <x:c r="D80" s="371" t="n">
        <x:f>'Client Overview'!M5</x:f>
        <x:v>15</x:v>
      </x:c>
      <x:c r="E80" s="404" t="n">
        <x:f>IF('Client Overview'!C22="","",'Client Overview'!C22)</x:f>
        <x:v>46492</x:v>
      </x:c>
      <x:c r="F80" s="405" t="n">
        <x:f>IF(E80="","",E80-TODAY())</x:f>
        <x:v>211</x:v>
      </x:c>
      <x:c r="G80" s="371" t="str">
        <x:f>IF(E80="","No Date",IF(F80&lt;='Client Overview'!O5*30.4375,"Red",IF(F80&lt;='Client Overview'!N5*30.4375,"Yellow","Green")))</x:f>
        <x:v>Green</x:v>
      </x:c>
    </x:row>
    <x:row r="81" ht="22" customHeight="1">
      <x:c r="A81" s="371" t="str">
        <x:f>'Client Overview'!A22</x:f>
        <x:v>Organization 17</x:v>
      </x:c>
      <x:c r="B81" s="371" t="str">
        <x:v>CSIRP Tabletop Completion</x:v>
      </x:c>
      <x:c r="C81" s="404" t="n">
        <x:f>IF('Client Overview'!D22="","",'Client Overview'!D22)</x:f>
        <x:v>45214</x:v>
      </x:c>
      <x:c r="D81" s="371" t="n">
        <x:f>'Client Overview'!M6</x:f>
        <x:v>36</x:v>
      </x:c>
      <x:c r="E81" s="404" t="n">
        <x:f>IF('Client Overview'!E22="","",'Client Overview'!E22)</x:f>
        <x:v>46310</x:v>
      </x:c>
      <x:c r="F81" s="405" t="n">
        <x:f>IF(E81="","",E81-TODAY())</x:f>
        <x:v>29</x:v>
      </x:c>
      <x:c r="G81" s="371" t="str">
        <x:f>IF(E81="","No Date",IF(F81&lt;='Client Overview'!O6*30.4375,"Red",IF(F81&lt;='Client Overview'!N6*30.4375,"Yellow","Green")))</x:f>
        <x:v>Red</x:v>
      </x:c>
    </x:row>
    <x:row r="82" ht="22" customHeight="1">
      <x:c r="A82" s="371" t="str">
        <x:f>'Client Overview'!A22</x:f>
        <x:v>Organization 17</x:v>
      </x:c>
      <x:c r="B82" s="371" t="str">
        <x:v>Evidence Review</x:v>
      </x:c>
      <x:c r="C82" s="404" t="n">
        <x:f>IF('Client Overview'!F22="","",'Client Overview'!F22)</x:f>
        <x:v>46174</x:v>
      </x:c>
      <x:c r="D82" s="371" t="n">
        <x:f>'Client Overview'!M7</x:f>
        <x:v>12</x:v>
      </x:c>
      <x:c r="E82" s="404" t="n">
        <x:f>IF('Client Overview'!G22="","",'Client Overview'!G22)</x:f>
        <x:v>46539</x:v>
      </x:c>
      <x:c r="F82" s="405" t="n">
        <x:f>IF(E82="","",E82-TODAY())</x:f>
        <x:v>258</x:v>
      </x:c>
      <x:c r="G82" s="371" t="str">
        <x:f>IF(E82="","No Date",IF(F82&lt;='Client Overview'!O7*30.4375,"Red",IF(F82&lt;='Client Overview'!N7*30.4375,"Yellow","Green")))</x:f>
        <x:v>Green</x:v>
      </x:c>
    </x:row>
    <x:row r="83" ht="22" customHeight="1">
      <x:c r="A83" s="371" t="str">
        <x:f>'Client Overview'!A22</x:f>
        <x:v>Organization 17</x:v>
      </x:c>
      <x:c r="B83" s="371" t="str">
        <x:v>CIP Monthly Questions</x:v>
      </x:c>
      <x:c r="C83" s="404" t="str">
        <x:f>IF('Client Overview'!H22="","",'Client Overview'!H22)</x:f>
      </x:c>
      <x:c r="D83" s="371" t="n">
        <x:f>'Client Overview'!M8</x:f>
        <x:v>1</x:v>
      </x:c>
      <x:c r="E83" s="404" t="str">
        <x:f>IF('Client Overview'!I22="","",'Client Overview'!I22)</x:f>
      </x:c>
      <x:c r="F83" s="405" t="str">
        <x:f>IF(E83="","",E83-TODAY())</x:f>
      </x:c>
      <x:c r="G83" s="371" t="str">
        <x:f>IF(E83="","No Date",IF(F83&lt;='Client Overview'!O8*30.4375,"Red",IF(F83&lt;='Client Overview'!N8*30.4375,"Yellow","Green")))</x:f>
        <x:v>No Date</x:v>
      </x:c>
    </x:row>
    <x:row r="84" ht="22" customHeight="1">
      <x:c r="A84" s="371" t="str">
        <x:f>'Client Overview'!A23</x:f>
        <x:v>Organization 18</x:v>
      </x:c>
      <x:c r="B84" s="371" t="str">
        <x:v>Annual Review</x:v>
      </x:c>
      <x:c r="C84" s="404" t="n">
        <x:f>IF('Client Overview'!B23="","",'Client Overview'!B23)</x:f>
        <x:v>46037</x:v>
      </x:c>
      <x:c r="D84" s="371" t="n">
        <x:f>'Client Overview'!M5</x:f>
        <x:v>15</x:v>
      </x:c>
      <x:c r="E84" s="404" t="n">
        <x:f>IF('Client Overview'!C23="","",'Client Overview'!C23)</x:f>
        <x:v>46492</x:v>
      </x:c>
      <x:c r="F84" s="405" t="n">
        <x:f>IF(E84="","",E84-TODAY())</x:f>
        <x:v>211</x:v>
      </x:c>
      <x:c r="G84" s="371" t="str">
        <x:f>IF(E84="","No Date",IF(F84&lt;='Client Overview'!O5*30.4375,"Red",IF(F84&lt;='Client Overview'!N5*30.4375,"Yellow","Green")))</x:f>
        <x:v>Green</x:v>
      </x:c>
    </x:row>
    <x:row r="85" ht="22" customHeight="1">
      <x:c r="A85" s="371" t="str">
        <x:f>'Client Overview'!A23</x:f>
        <x:v>Organization 18</x:v>
      </x:c>
      <x:c r="B85" s="371" t="str">
        <x:v>CSIRP Tabletop Completion</x:v>
      </x:c>
      <x:c r="C85" s="404" t="n">
        <x:f>IF('Client Overview'!D23="","",'Client Overview'!D23)</x:f>
        <x:v>45214</x:v>
      </x:c>
      <x:c r="D85" s="371" t="n">
        <x:f>'Client Overview'!M6</x:f>
        <x:v>36</x:v>
      </x:c>
      <x:c r="E85" s="404" t="n">
        <x:f>IF('Client Overview'!E23="","",'Client Overview'!E23)</x:f>
        <x:v>46310</x:v>
      </x:c>
      <x:c r="F85" s="405" t="n">
        <x:f>IF(E85="","",E85-TODAY())</x:f>
        <x:v>29</x:v>
      </x:c>
      <x:c r="G85" s="371" t="str">
        <x:f>IF(E85="","No Date",IF(F85&lt;='Client Overview'!O6*30.4375,"Red",IF(F85&lt;='Client Overview'!N6*30.4375,"Yellow","Green")))</x:f>
        <x:v>Red</x:v>
      </x:c>
    </x:row>
    <x:row r="86" ht="22" customHeight="1">
      <x:c r="A86" s="371" t="str">
        <x:f>'Client Overview'!A23</x:f>
        <x:v>Organization 18</x:v>
      </x:c>
      <x:c r="B86" s="371" t="str">
        <x:v>Evidence Review</x:v>
      </x:c>
      <x:c r="C86" s="404" t="n">
        <x:f>IF('Client Overview'!F23="","",'Client Overview'!F23)</x:f>
        <x:v>46174</x:v>
      </x:c>
      <x:c r="D86" s="371" t="n">
        <x:f>'Client Overview'!M7</x:f>
        <x:v>12</x:v>
      </x:c>
      <x:c r="E86" s="404" t="n">
        <x:f>IF('Client Overview'!G23="","",'Client Overview'!G23)</x:f>
        <x:v>46539</x:v>
      </x:c>
      <x:c r="F86" s="405" t="n">
        <x:f>IF(E86="","",E86-TODAY())</x:f>
        <x:v>258</x:v>
      </x:c>
      <x:c r="G86" s="371" t="str">
        <x:f>IF(E86="","No Date",IF(F86&lt;='Client Overview'!O7*30.4375,"Red",IF(F86&lt;='Client Overview'!N7*30.4375,"Yellow","Green")))</x:f>
        <x:v>Green</x:v>
      </x:c>
    </x:row>
    <x:row r="87" ht="22" customHeight="1">
      <x:c r="A87" s="371" t="str">
        <x:f>'Client Overview'!A23</x:f>
        <x:v>Organization 18</x:v>
      </x:c>
      <x:c r="B87" s="371" t="str">
        <x:v>CIP Monthly Questions</x:v>
      </x:c>
      <x:c r="C87" s="404" t="str">
        <x:f>IF('Client Overview'!H23="","",'Client Overview'!H23)</x:f>
      </x:c>
      <x:c r="D87" s="371" t="n">
        <x:f>'Client Overview'!M8</x:f>
        <x:v>1</x:v>
      </x:c>
      <x:c r="E87" s="404" t="str">
        <x:f>IF('Client Overview'!I23="","",'Client Overview'!I23)</x:f>
      </x:c>
      <x:c r="F87" s="405" t="str">
        <x:f>IF(E87="","",E87-TODAY())</x:f>
      </x:c>
      <x:c r="G87" s="371" t="str">
        <x:f>IF(E87="","No Date",IF(F87&lt;='Client Overview'!O8*30.4375,"Red",IF(F87&lt;='Client Overview'!N8*30.4375,"Yellow","Green")))</x:f>
        <x:v>No Date</x:v>
      </x:c>
    </x:row>
    <x:row r="88" ht="22" customHeight="1">
      <x:c r="A88" s="371" t="str">
        <x:f>'Client Overview'!A24</x:f>
        <x:v>Organization 19</x:v>
      </x:c>
      <x:c r="B88" s="371" t="str">
        <x:v>Annual Review</x:v>
      </x:c>
      <x:c r="C88" s="404" t="n">
        <x:f>IF('Client Overview'!B24="","",'Client Overview'!B24)</x:f>
        <x:v>46037</x:v>
      </x:c>
      <x:c r="D88" s="371" t="n">
        <x:f>'Client Overview'!M5</x:f>
        <x:v>15</x:v>
      </x:c>
      <x:c r="E88" s="404" t="n">
        <x:f>IF('Client Overview'!C24="","",'Client Overview'!C24)</x:f>
        <x:v>46492</x:v>
      </x:c>
      <x:c r="F88" s="405" t="n">
        <x:f>IF(E88="","",E88-TODAY())</x:f>
        <x:v>211</x:v>
      </x:c>
      <x:c r="G88" s="371" t="str">
        <x:f>IF(E88="","No Date",IF(F88&lt;='Client Overview'!O5*30.4375,"Red",IF(F88&lt;='Client Overview'!N5*30.4375,"Yellow","Green")))</x:f>
        <x:v>Green</x:v>
      </x:c>
    </x:row>
    <x:row r="89" ht="22" customHeight="1">
      <x:c r="A89" s="371" t="str">
        <x:f>'Client Overview'!A24</x:f>
        <x:v>Organization 19</x:v>
      </x:c>
      <x:c r="B89" s="371" t="str">
        <x:v>CSIRP Tabletop Completion</x:v>
      </x:c>
      <x:c r="C89" s="404" t="n">
        <x:f>IF('Client Overview'!D24="","",'Client Overview'!D24)</x:f>
        <x:v>45214</x:v>
      </x:c>
      <x:c r="D89" s="371" t="n">
        <x:f>'Client Overview'!M6</x:f>
        <x:v>36</x:v>
      </x:c>
      <x:c r="E89" s="404" t="n">
        <x:f>IF('Client Overview'!E24="","",'Client Overview'!E24)</x:f>
        <x:v>46310</x:v>
      </x:c>
      <x:c r="F89" s="405" t="n">
        <x:f>IF(E89="","",E89-TODAY())</x:f>
        <x:v>29</x:v>
      </x:c>
      <x:c r="G89" s="371" t="str">
        <x:f>IF(E89="","No Date",IF(F89&lt;='Client Overview'!O6*30.4375,"Red",IF(F89&lt;='Client Overview'!N6*30.4375,"Yellow","Green")))</x:f>
        <x:v>Red</x:v>
      </x:c>
    </x:row>
    <x:row r="90" ht="22" customHeight="1">
      <x:c r="A90" s="371" t="str">
        <x:f>'Client Overview'!A24</x:f>
        <x:v>Organization 19</x:v>
      </x:c>
      <x:c r="B90" s="371" t="str">
        <x:v>Evidence Review</x:v>
      </x:c>
      <x:c r="C90" s="404" t="n">
        <x:f>IF('Client Overview'!F24="","",'Client Overview'!F24)</x:f>
        <x:v>46174</x:v>
      </x:c>
      <x:c r="D90" s="371" t="n">
        <x:f>'Client Overview'!M7</x:f>
        <x:v>12</x:v>
      </x:c>
      <x:c r="E90" s="404" t="n">
        <x:f>IF('Client Overview'!G24="","",'Client Overview'!G24)</x:f>
        <x:v>46539</x:v>
      </x:c>
      <x:c r="F90" s="405" t="n">
        <x:f>IF(E90="","",E90-TODAY())</x:f>
        <x:v>258</x:v>
      </x:c>
      <x:c r="G90" s="371" t="str">
        <x:f>IF(E90="","No Date",IF(F90&lt;='Client Overview'!O7*30.4375,"Red",IF(F90&lt;='Client Overview'!N7*30.4375,"Yellow","Green")))</x:f>
        <x:v>Green</x:v>
      </x:c>
    </x:row>
    <x:row r="91" ht="22" customHeight="1">
      <x:c r="A91" s="371" t="str">
        <x:f>'Client Overview'!A24</x:f>
        <x:v>Organization 19</x:v>
      </x:c>
      <x:c r="B91" s="371" t="str">
        <x:v>CIP Monthly Questions</x:v>
      </x:c>
      <x:c r="C91" s="404" t="str">
        <x:f>IF('Client Overview'!H24="","",'Client Overview'!H24)</x:f>
      </x:c>
      <x:c r="D91" s="371" t="n">
        <x:f>'Client Overview'!M8</x:f>
        <x:v>1</x:v>
      </x:c>
      <x:c r="E91" s="404" t="str">
        <x:f>IF('Client Overview'!I24="","",'Client Overview'!I24)</x:f>
      </x:c>
      <x:c r="F91" s="405" t="str">
        <x:f>IF(E91="","",E91-TODAY())</x:f>
      </x:c>
      <x:c r="G91" s="371" t="str">
        <x:f>IF(E91="","No Date",IF(F91&lt;='Client Overview'!O8*30.4375,"Red",IF(F91&lt;='Client Overview'!N8*30.4375,"Yellow","Green")))</x:f>
        <x:v>No Date</x:v>
      </x:c>
    </x:row>
    <x:row r="92" ht="22" customHeight="1">
      <x:c r="A92" s="371" t="str">
        <x:f>'Client Overview'!A25</x:f>
        <x:v>Organization 20</x:v>
      </x:c>
      <x:c r="B92" s="371" t="str">
        <x:v>Annual Review</x:v>
      </x:c>
      <x:c r="C92" s="404" t="n">
        <x:f>IF('Client Overview'!B25="","",'Client Overview'!B25)</x:f>
        <x:v>46037</x:v>
      </x:c>
      <x:c r="D92" s="371" t="n">
        <x:f>'Client Overview'!M5</x:f>
        <x:v>15</x:v>
      </x:c>
      <x:c r="E92" s="404" t="n">
        <x:f>IF('Client Overview'!C25="","",'Client Overview'!C25)</x:f>
        <x:v>46492</x:v>
      </x:c>
      <x:c r="F92" s="405" t="n">
        <x:f>IF(E92="","",E92-TODAY())</x:f>
        <x:v>211</x:v>
      </x:c>
      <x:c r="G92" s="371" t="str">
        <x:f>IF(E92="","No Date",IF(F92&lt;='Client Overview'!O5*30.4375,"Red",IF(F92&lt;='Client Overview'!N5*30.4375,"Yellow","Green")))</x:f>
        <x:v>Green</x:v>
      </x:c>
    </x:row>
    <x:row r="93" ht="22" customHeight="1">
      <x:c r="A93" s="371" t="str">
        <x:f>'Client Overview'!A25</x:f>
        <x:v>Organization 20</x:v>
      </x:c>
      <x:c r="B93" s="371" t="str">
        <x:v>CSIRP Tabletop Completion</x:v>
      </x:c>
      <x:c r="C93" s="404" t="n">
        <x:f>IF('Client Overview'!D25="","",'Client Overview'!D25)</x:f>
        <x:v>45214</x:v>
      </x:c>
      <x:c r="D93" s="371" t="n">
        <x:f>'Client Overview'!M6</x:f>
        <x:v>36</x:v>
      </x:c>
      <x:c r="E93" s="404" t="n">
        <x:f>IF('Client Overview'!E25="","",'Client Overview'!E25)</x:f>
        <x:v>46310</x:v>
      </x:c>
      <x:c r="F93" s="405" t="n">
        <x:f>IF(E93="","",E93-TODAY())</x:f>
        <x:v>29</x:v>
      </x:c>
      <x:c r="G93" s="371" t="str">
        <x:f>IF(E93="","No Date",IF(F93&lt;='Client Overview'!O6*30.4375,"Red",IF(F93&lt;='Client Overview'!N6*30.4375,"Yellow","Green")))</x:f>
        <x:v>Red</x:v>
      </x:c>
    </x:row>
    <x:row r="94" ht="22" customHeight="1">
      <x:c r="A94" s="371" t="str">
        <x:f>'Client Overview'!A25</x:f>
        <x:v>Organization 20</x:v>
      </x:c>
      <x:c r="B94" s="371" t="str">
        <x:v>Evidence Review</x:v>
      </x:c>
      <x:c r="C94" s="404" t="n">
        <x:f>IF('Client Overview'!F25="","",'Client Overview'!F25)</x:f>
        <x:v>46174</x:v>
      </x:c>
      <x:c r="D94" s="371" t="n">
        <x:f>'Client Overview'!M7</x:f>
        <x:v>12</x:v>
      </x:c>
      <x:c r="E94" s="404" t="n">
        <x:f>IF('Client Overview'!G25="","",'Client Overview'!G25)</x:f>
        <x:v>46539</x:v>
      </x:c>
      <x:c r="F94" s="405" t="n">
        <x:f>IF(E94="","",E94-TODAY())</x:f>
        <x:v>258</x:v>
      </x:c>
      <x:c r="G94" s="371" t="str">
        <x:f>IF(E94="","No Date",IF(F94&lt;='Client Overview'!O7*30.4375,"Red",IF(F94&lt;='Client Overview'!N7*30.4375,"Yellow","Green")))</x:f>
        <x:v>Green</x:v>
      </x:c>
    </x:row>
    <x:row r="95" ht="22" customHeight="1">
      <x:c r="A95" s="371" t="str">
        <x:f>'Client Overview'!A25</x:f>
        <x:v>Organization 20</x:v>
      </x:c>
      <x:c r="B95" s="371" t="str">
        <x:v>CIP Monthly Questions</x:v>
      </x:c>
      <x:c r="C95" s="404" t="str">
        <x:f>IF('Client Overview'!H25="","",'Client Overview'!H25)</x:f>
      </x:c>
      <x:c r="D95" s="371" t="n">
        <x:f>'Client Overview'!M8</x:f>
        <x:v>1</x:v>
      </x:c>
      <x:c r="E95" s="404" t="str">
        <x:f>IF('Client Overview'!I25="","",'Client Overview'!I25)</x:f>
      </x:c>
      <x:c r="F95" s="405" t="str">
        <x:f>IF(E95="","",E95-TODAY())</x:f>
      </x:c>
      <x:c r="G95" s="371" t="str">
        <x:f>IF(E95="","No Date",IF(F95&lt;='Client Overview'!O8*30.4375,"Red",IF(F95&lt;='Client Overview'!N8*30.4375,"Yellow","Green")))</x:f>
        <x:v>No Date</x:v>
      </x:c>
    </x:row>
    <x:row r="96" ht="22" customHeight="1">
      <x:c r="A96" s="371" t="str">
        <x:f>'Client Overview'!A26</x:f>
        <x:v>Organization 21</x:v>
      </x:c>
      <x:c r="B96" s="371" t="str">
        <x:v>Annual Review</x:v>
      </x:c>
      <x:c r="C96" s="404" t="n">
        <x:f>IF('Client Overview'!B26="","",'Client Overview'!B26)</x:f>
        <x:v>46037</x:v>
      </x:c>
      <x:c r="D96" s="371" t="n">
        <x:f>'Client Overview'!M5</x:f>
        <x:v>15</x:v>
      </x:c>
      <x:c r="E96" s="404" t="n">
        <x:f>IF('Client Overview'!C26="","",'Client Overview'!C26)</x:f>
        <x:v>46492</x:v>
      </x:c>
      <x:c r="F96" s="405" t="n">
        <x:f>IF(E96="","",E96-TODAY())</x:f>
        <x:v>211</x:v>
      </x:c>
      <x:c r="G96" s="371" t="str">
        <x:f>IF(E96="","No Date",IF(F96&lt;='Client Overview'!O5*30.4375,"Red",IF(F96&lt;='Client Overview'!N5*30.4375,"Yellow","Green")))</x:f>
        <x:v>Green</x:v>
      </x:c>
    </x:row>
    <x:row r="97" ht="22" customHeight="1">
      <x:c r="A97" s="371" t="str">
        <x:f>'Client Overview'!A26</x:f>
        <x:v>Organization 21</x:v>
      </x:c>
      <x:c r="B97" s="371" t="str">
        <x:v>CSIRP Tabletop Completion</x:v>
      </x:c>
      <x:c r="C97" s="404" t="n">
        <x:f>IF('Client Overview'!D26="","",'Client Overview'!D26)</x:f>
        <x:v>45214</x:v>
      </x:c>
      <x:c r="D97" s="371" t="n">
        <x:f>'Client Overview'!M6</x:f>
        <x:v>36</x:v>
      </x:c>
      <x:c r="E97" s="404" t="n">
        <x:f>IF('Client Overview'!E26="","",'Client Overview'!E26)</x:f>
        <x:v>46310</x:v>
      </x:c>
      <x:c r="F97" s="405" t="n">
        <x:f>IF(E97="","",E97-TODAY())</x:f>
        <x:v>29</x:v>
      </x:c>
      <x:c r="G97" s="371" t="str">
        <x:f>IF(E97="","No Date",IF(F97&lt;='Client Overview'!O6*30.4375,"Red",IF(F97&lt;='Client Overview'!N6*30.4375,"Yellow","Green")))</x:f>
        <x:v>Red</x:v>
      </x:c>
    </x:row>
    <x:row r="98" ht="22" customHeight="1">
      <x:c r="A98" s="371" t="str">
        <x:f>'Client Overview'!A26</x:f>
        <x:v>Organization 21</x:v>
      </x:c>
      <x:c r="B98" s="371" t="str">
        <x:v>Evidence Review</x:v>
      </x:c>
      <x:c r="C98" s="404" t="n">
        <x:f>IF('Client Overview'!F26="","",'Client Overview'!F26)</x:f>
        <x:v>46174</x:v>
      </x:c>
      <x:c r="D98" s="371" t="n">
        <x:f>'Client Overview'!M7</x:f>
        <x:v>12</x:v>
      </x:c>
      <x:c r="E98" s="404" t="n">
        <x:f>IF('Client Overview'!G26="","",'Client Overview'!G26)</x:f>
        <x:v>46539</x:v>
      </x:c>
      <x:c r="F98" s="405" t="n">
        <x:f>IF(E98="","",E98-TODAY())</x:f>
        <x:v>258</x:v>
      </x:c>
      <x:c r="G98" s="371" t="str">
        <x:f>IF(E98="","No Date",IF(F98&lt;='Client Overview'!O7*30.4375,"Red",IF(F98&lt;='Client Overview'!N7*30.4375,"Yellow","Green")))</x:f>
        <x:v>Green</x:v>
      </x:c>
    </x:row>
    <x:row r="99" ht="22" customHeight="1">
      <x:c r="A99" s="371" t="str">
        <x:f>'Client Overview'!A26</x:f>
        <x:v>Organization 21</x:v>
      </x:c>
      <x:c r="B99" s="371" t="str">
        <x:v>CIP Monthly Questions</x:v>
      </x:c>
      <x:c r="C99" s="404" t="str">
        <x:f>IF('Client Overview'!H26="","",'Client Overview'!H26)</x:f>
      </x:c>
      <x:c r="D99" s="371" t="n">
        <x:f>'Client Overview'!M8</x:f>
        <x:v>1</x:v>
      </x:c>
      <x:c r="E99" s="404" t="str">
        <x:f>IF('Client Overview'!I26="","",'Client Overview'!I26)</x:f>
      </x:c>
      <x:c r="F99" s="405" t="str">
        <x:f>IF(E99="","",E99-TODAY())</x:f>
      </x:c>
      <x:c r="G99" s="371" t="str">
        <x:f>IF(E99="","No Date",IF(F99&lt;='Client Overview'!O8*30.4375,"Red",IF(F99&lt;='Client Overview'!N8*30.4375,"Yellow","Green")))</x:f>
        <x:v>No Date</x:v>
      </x:c>
    </x:row>
    <x:row r="100" ht="22" customHeight="1">
      <x:c r="A100" s="371" t="str">
        <x:f>'Client Overview'!A27</x:f>
        <x:v>Organization 22</x:v>
      </x:c>
      <x:c r="B100" s="371" t="str">
        <x:v>Annual Review</x:v>
      </x:c>
      <x:c r="C100" s="404" t="n">
        <x:f>IF('Client Overview'!B27="","",'Client Overview'!B27)</x:f>
        <x:v>46037</x:v>
      </x:c>
      <x:c r="D100" s="371" t="n">
        <x:f>'Client Overview'!M5</x:f>
        <x:v>15</x:v>
      </x:c>
      <x:c r="E100" s="404" t="n">
        <x:f>IF('Client Overview'!C27="","",'Client Overview'!C27)</x:f>
        <x:v>46492</x:v>
      </x:c>
      <x:c r="F100" s="405" t="n">
        <x:f>IF(E100="","",E100-TODAY())</x:f>
        <x:v>211</x:v>
      </x:c>
      <x:c r="G100" s="371" t="str">
        <x:f>IF(E100="","No Date",IF(F100&lt;='Client Overview'!O5*30.4375,"Red",IF(F100&lt;='Client Overview'!N5*30.4375,"Yellow","Green")))</x:f>
        <x:v>Green</x:v>
      </x:c>
    </x:row>
    <x:row r="101" ht="22" customHeight="1">
      <x:c r="A101" s="371" t="str">
        <x:f>'Client Overview'!A27</x:f>
        <x:v>Organization 22</x:v>
      </x:c>
      <x:c r="B101" s="371" t="str">
        <x:v>CSIRP Tabletop Completion</x:v>
      </x:c>
      <x:c r="C101" s="404" t="n">
        <x:f>IF('Client Overview'!D27="","",'Client Overview'!D27)</x:f>
        <x:v>45214</x:v>
      </x:c>
      <x:c r="D101" s="371" t="n">
        <x:f>'Client Overview'!M6</x:f>
        <x:v>36</x:v>
      </x:c>
      <x:c r="E101" s="404" t="n">
        <x:f>IF('Client Overview'!E27="","",'Client Overview'!E27)</x:f>
        <x:v>46310</x:v>
      </x:c>
      <x:c r="F101" s="405" t="n">
        <x:f>IF(E101="","",E101-TODAY())</x:f>
        <x:v>29</x:v>
      </x:c>
      <x:c r="G101" s="371" t="str">
        <x:f>IF(E101="","No Date",IF(F101&lt;='Client Overview'!O6*30.4375,"Red",IF(F101&lt;='Client Overview'!N6*30.4375,"Yellow","Green")))</x:f>
        <x:v>Red</x:v>
      </x:c>
    </x:row>
    <x:row r="102" ht="22" customHeight="1">
      <x:c r="A102" s="371" t="str">
        <x:f>'Client Overview'!A27</x:f>
        <x:v>Organization 22</x:v>
      </x:c>
      <x:c r="B102" s="371" t="str">
        <x:v>Evidence Review</x:v>
      </x:c>
      <x:c r="C102" s="404" t="n">
        <x:f>IF('Client Overview'!F27="","",'Client Overview'!F27)</x:f>
        <x:v>46174</x:v>
      </x:c>
      <x:c r="D102" s="371" t="n">
        <x:f>'Client Overview'!M7</x:f>
        <x:v>12</x:v>
      </x:c>
      <x:c r="E102" s="404" t="n">
        <x:f>IF('Client Overview'!G27="","",'Client Overview'!G27)</x:f>
        <x:v>46539</x:v>
      </x:c>
      <x:c r="F102" s="405" t="n">
        <x:f>IF(E102="","",E102-TODAY())</x:f>
        <x:v>258</x:v>
      </x:c>
      <x:c r="G102" s="371" t="str">
        <x:f>IF(E102="","No Date",IF(F102&lt;='Client Overview'!O7*30.4375,"Red",IF(F102&lt;='Client Overview'!N7*30.4375,"Yellow","Green")))</x:f>
        <x:v>Green</x:v>
      </x:c>
    </x:row>
    <x:row r="103" ht="22" customHeight="1">
      <x:c r="A103" s="371" t="str">
        <x:f>'Client Overview'!A27</x:f>
        <x:v>Organization 22</x:v>
      </x:c>
      <x:c r="B103" s="371" t="str">
        <x:v>CIP Monthly Questions</x:v>
      </x:c>
      <x:c r="C103" s="404" t="str">
        <x:f>IF('Client Overview'!H27="","",'Client Overview'!H27)</x:f>
      </x:c>
      <x:c r="D103" s="371" t="n">
        <x:f>'Client Overview'!M8</x:f>
        <x:v>1</x:v>
      </x:c>
      <x:c r="E103" s="404" t="str">
        <x:f>IF('Client Overview'!I27="","",'Client Overview'!I27)</x:f>
      </x:c>
      <x:c r="F103" s="405" t="str">
        <x:f>IF(E103="","",E103-TODAY())</x:f>
      </x:c>
      <x:c r="G103" s="371" t="str">
        <x:f>IF(E103="","No Date",IF(F103&lt;='Client Overview'!O8*30.4375,"Red",IF(F103&lt;='Client Overview'!N8*30.4375,"Yellow","Green")))</x:f>
        <x:v>No Date</x:v>
      </x:c>
    </x:row>
    <x:row r="104" ht="22" customHeight="1">
      <x:c r="A104" s="371" t="str">
        <x:f>'Client Overview'!A28</x:f>
        <x:v>Organization 23</x:v>
      </x:c>
      <x:c r="B104" s="371" t="str">
        <x:v>Annual Review</x:v>
      </x:c>
      <x:c r="C104" s="404" t="n">
        <x:f>IF('Client Overview'!B28="","",'Client Overview'!B28)</x:f>
        <x:v>46037</x:v>
      </x:c>
      <x:c r="D104" s="371" t="n">
        <x:f>'Client Overview'!M5</x:f>
        <x:v>15</x:v>
      </x:c>
      <x:c r="E104" s="404" t="n">
        <x:f>IF('Client Overview'!C28="","",'Client Overview'!C28)</x:f>
        <x:v>46492</x:v>
      </x:c>
      <x:c r="F104" s="405" t="n">
        <x:f>IF(E104="","",E104-TODAY())</x:f>
        <x:v>211</x:v>
      </x:c>
      <x:c r="G104" s="371" t="str">
        <x:f>IF(E104="","No Date",IF(F104&lt;='Client Overview'!O5*30.4375,"Red",IF(F104&lt;='Client Overview'!N5*30.4375,"Yellow","Green")))</x:f>
        <x:v>Green</x:v>
      </x:c>
    </x:row>
    <x:row r="105" ht="22" customHeight="1">
      <x:c r="A105" s="371" t="str">
        <x:f>'Client Overview'!A28</x:f>
        <x:v>Organization 23</x:v>
      </x:c>
      <x:c r="B105" s="371" t="str">
        <x:v>CSIRP Tabletop Completion</x:v>
      </x:c>
      <x:c r="C105" s="404" t="n">
        <x:f>IF('Client Overview'!D28="","",'Client Overview'!D28)</x:f>
        <x:v>45214</x:v>
      </x:c>
      <x:c r="D105" s="371" t="n">
        <x:f>'Client Overview'!M6</x:f>
        <x:v>36</x:v>
      </x:c>
      <x:c r="E105" s="404" t="n">
        <x:f>IF('Client Overview'!E28="","",'Client Overview'!E28)</x:f>
        <x:v>46310</x:v>
      </x:c>
      <x:c r="F105" s="405" t="n">
        <x:f>IF(E105="","",E105-TODAY())</x:f>
        <x:v>29</x:v>
      </x:c>
      <x:c r="G105" s="371" t="str">
        <x:f>IF(E105="","No Date",IF(F105&lt;='Client Overview'!O6*30.4375,"Red",IF(F105&lt;='Client Overview'!N6*30.4375,"Yellow","Green")))</x:f>
        <x:v>Red</x:v>
      </x:c>
    </x:row>
    <x:row r="106" ht="22" customHeight="1">
      <x:c r="A106" s="371" t="str">
        <x:f>'Client Overview'!A28</x:f>
        <x:v>Organization 23</x:v>
      </x:c>
      <x:c r="B106" s="371" t="str">
        <x:v>Evidence Review</x:v>
      </x:c>
      <x:c r="C106" s="404" t="n">
        <x:f>IF('Client Overview'!F28="","",'Client Overview'!F28)</x:f>
        <x:v>46174</x:v>
      </x:c>
      <x:c r="D106" s="371" t="n">
        <x:f>'Client Overview'!M7</x:f>
        <x:v>12</x:v>
      </x:c>
      <x:c r="E106" s="404" t="n">
        <x:f>IF('Client Overview'!G28="","",'Client Overview'!G28)</x:f>
        <x:v>46539</x:v>
      </x:c>
      <x:c r="F106" s="405" t="n">
        <x:f>IF(E106="","",E106-TODAY())</x:f>
        <x:v>258</x:v>
      </x:c>
      <x:c r="G106" s="371" t="str">
        <x:f>IF(E106="","No Date",IF(F106&lt;='Client Overview'!O7*30.4375,"Red",IF(F106&lt;='Client Overview'!N7*30.4375,"Yellow","Green")))</x:f>
        <x:v>Green</x:v>
      </x:c>
    </x:row>
    <x:row r="107" ht="22" customHeight="1">
      <x:c r="A107" s="371" t="str">
        <x:f>'Client Overview'!A28</x:f>
        <x:v>Organization 23</x:v>
      </x:c>
      <x:c r="B107" s="371" t="str">
        <x:v>CIP Monthly Questions</x:v>
      </x:c>
      <x:c r="C107" s="404" t="str">
        <x:f>IF('Client Overview'!H28="","",'Client Overview'!H28)</x:f>
      </x:c>
      <x:c r="D107" s="371" t="n">
        <x:f>'Client Overview'!M8</x:f>
        <x:v>1</x:v>
      </x:c>
      <x:c r="E107" s="404" t="str">
        <x:f>IF('Client Overview'!I28="","",'Client Overview'!I28)</x:f>
      </x:c>
      <x:c r="F107" s="405" t="str">
        <x:f>IF(E107="","",E107-TODAY())</x:f>
      </x:c>
      <x:c r="G107" s="371" t="str">
        <x:f>IF(E107="","No Date",IF(F107&lt;='Client Overview'!O8*30.4375,"Red",IF(F107&lt;='Client Overview'!N8*30.4375,"Yellow","Green")))</x:f>
        <x:v>No Date</x:v>
      </x:c>
    </x:row>
    <x:row r="108" ht="22" customHeight="1">
      <x:c r="A108" s="371" t="str">
        <x:f>'Client Overview'!A29</x:f>
        <x:v>Organization 24</x:v>
      </x:c>
      <x:c r="B108" s="371" t="str">
        <x:v>Annual Review</x:v>
      </x:c>
      <x:c r="C108" s="404" t="n">
        <x:f>IF('Client Overview'!B29="","",'Client Overview'!B29)</x:f>
        <x:v>46037</x:v>
      </x:c>
      <x:c r="D108" s="371" t="n">
        <x:f>'Client Overview'!M5</x:f>
        <x:v>15</x:v>
      </x:c>
      <x:c r="E108" s="404" t="n">
        <x:f>IF('Client Overview'!C29="","",'Client Overview'!C29)</x:f>
        <x:v>46492</x:v>
      </x:c>
      <x:c r="F108" s="405" t="n">
        <x:f>IF(E108="","",E108-TODAY())</x:f>
        <x:v>211</x:v>
      </x:c>
      <x:c r="G108" s="371" t="str">
        <x:f>IF(E108="","No Date",IF(F108&lt;='Client Overview'!O5*30.4375,"Red",IF(F108&lt;='Client Overview'!N5*30.4375,"Yellow","Green")))</x:f>
        <x:v>Green</x:v>
      </x:c>
    </x:row>
    <x:row r="109" ht="22" customHeight="1">
      <x:c r="A109" s="371" t="str">
        <x:f>'Client Overview'!A29</x:f>
        <x:v>Organization 24</x:v>
      </x:c>
      <x:c r="B109" s="371" t="str">
        <x:v>CSIRP Tabletop Completion</x:v>
      </x:c>
      <x:c r="C109" s="404" t="n">
        <x:f>IF('Client Overview'!D29="","",'Client Overview'!D29)</x:f>
        <x:v>45214</x:v>
      </x:c>
      <x:c r="D109" s="371" t="n">
        <x:f>'Client Overview'!M6</x:f>
        <x:v>36</x:v>
      </x:c>
      <x:c r="E109" s="404" t="n">
        <x:f>IF('Client Overview'!E29="","",'Client Overview'!E29)</x:f>
        <x:v>46310</x:v>
      </x:c>
      <x:c r="F109" s="405" t="n">
        <x:f>IF(E109="","",E109-TODAY())</x:f>
        <x:v>29</x:v>
      </x:c>
      <x:c r="G109" s="371" t="str">
        <x:f>IF(E109="","No Date",IF(F109&lt;='Client Overview'!O6*30.4375,"Red",IF(F109&lt;='Client Overview'!N6*30.4375,"Yellow","Green")))</x:f>
        <x:v>Red</x:v>
      </x:c>
    </x:row>
    <x:row r="110" ht="22" customHeight="1">
      <x:c r="A110" s="371" t="str">
        <x:f>'Client Overview'!A29</x:f>
        <x:v>Organization 24</x:v>
      </x:c>
      <x:c r="B110" s="371" t="str">
        <x:v>Evidence Review</x:v>
      </x:c>
      <x:c r="C110" s="404" t="n">
        <x:f>IF('Client Overview'!F29="","",'Client Overview'!F29)</x:f>
        <x:v>46174</x:v>
      </x:c>
      <x:c r="D110" s="371" t="n">
        <x:f>'Client Overview'!M7</x:f>
        <x:v>12</x:v>
      </x:c>
      <x:c r="E110" s="404" t="n">
        <x:f>IF('Client Overview'!G29="","",'Client Overview'!G29)</x:f>
        <x:v>46539</x:v>
      </x:c>
      <x:c r="F110" s="405" t="n">
        <x:f>IF(E110="","",E110-TODAY())</x:f>
        <x:v>258</x:v>
      </x:c>
      <x:c r="G110" s="371" t="str">
        <x:f>IF(E110="","No Date",IF(F110&lt;='Client Overview'!O7*30.4375,"Red",IF(F110&lt;='Client Overview'!N7*30.4375,"Yellow","Green")))</x:f>
        <x:v>Green</x:v>
      </x:c>
    </x:row>
    <x:row r="111" ht="22" customHeight="1">
      <x:c r="A111" s="371" t="str">
        <x:f>'Client Overview'!A29</x:f>
        <x:v>Organization 24</x:v>
      </x:c>
      <x:c r="B111" s="371" t="str">
        <x:v>CIP Monthly Questions</x:v>
      </x:c>
      <x:c r="C111" s="404" t="str">
        <x:f>IF('Client Overview'!H29="","",'Client Overview'!H29)</x:f>
      </x:c>
      <x:c r="D111" s="371" t="n">
        <x:f>'Client Overview'!M8</x:f>
        <x:v>1</x:v>
      </x:c>
      <x:c r="E111" s="404" t="str">
        <x:f>IF('Client Overview'!I29="","",'Client Overview'!I29)</x:f>
      </x:c>
      <x:c r="F111" s="405" t="str">
        <x:f>IF(E111="","",E111-TODAY())</x:f>
      </x:c>
      <x:c r="G111" s="371" t="str">
        <x:f>IF(E111="","No Date",IF(F111&lt;='Client Overview'!O8*30.4375,"Red",IF(F111&lt;='Client Overview'!N8*30.4375,"Yellow","Green")))</x:f>
        <x:v>No Date</x:v>
      </x:c>
    </x:row>
    <x:row r="112" ht="22" customHeight="1">
      <x:c r="A112" s="371" t="str">
        <x:f>'Client Overview'!A30</x:f>
        <x:v>Organization 25</x:v>
      </x:c>
      <x:c r="B112" s="371" t="str">
        <x:v>Annual Review</x:v>
      </x:c>
      <x:c r="C112" s="404" t="n">
        <x:f>IF('Client Overview'!B30="","",'Client Overview'!B30)</x:f>
        <x:v>46037</x:v>
      </x:c>
      <x:c r="D112" s="371" t="n">
        <x:f>'Client Overview'!M5</x:f>
        <x:v>15</x:v>
      </x:c>
      <x:c r="E112" s="404" t="n">
        <x:f>IF('Client Overview'!C30="","",'Client Overview'!C30)</x:f>
        <x:v>46492</x:v>
      </x:c>
      <x:c r="F112" s="405" t="n">
        <x:f>IF(E112="","",E112-TODAY())</x:f>
        <x:v>211</x:v>
      </x:c>
      <x:c r="G112" s="371" t="str">
        <x:f>IF(E112="","No Date",IF(F112&lt;='Client Overview'!O5*30.4375,"Red",IF(F112&lt;='Client Overview'!N5*30.4375,"Yellow","Green")))</x:f>
        <x:v>Green</x:v>
      </x:c>
    </x:row>
    <x:row r="113" ht="22" customHeight="1">
      <x:c r="A113" s="371" t="str">
        <x:f>'Client Overview'!A30</x:f>
        <x:v>Organization 25</x:v>
      </x:c>
      <x:c r="B113" s="371" t="str">
        <x:v>CSIRP Tabletop Completion</x:v>
      </x:c>
      <x:c r="C113" s="404" t="n">
        <x:f>IF('Client Overview'!D30="","",'Client Overview'!D30)</x:f>
        <x:v>45214</x:v>
      </x:c>
      <x:c r="D113" s="371" t="n">
        <x:f>'Client Overview'!M6</x:f>
        <x:v>36</x:v>
      </x:c>
      <x:c r="E113" s="404" t="n">
        <x:f>IF('Client Overview'!E30="","",'Client Overview'!E30)</x:f>
        <x:v>46310</x:v>
      </x:c>
      <x:c r="F113" s="405" t="n">
        <x:f>IF(E113="","",E113-TODAY())</x:f>
        <x:v>29</x:v>
      </x:c>
      <x:c r="G113" s="371" t="str">
        <x:f>IF(E113="","No Date",IF(F113&lt;='Client Overview'!O6*30.4375,"Red",IF(F113&lt;='Client Overview'!N6*30.4375,"Yellow","Green")))</x:f>
        <x:v>Red</x:v>
      </x:c>
    </x:row>
    <x:row r="114" ht="22" customHeight="1">
      <x:c r="A114" s="371" t="str">
        <x:f>'Client Overview'!A30</x:f>
        <x:v>Organization 25</x:v>
      </x:c>
      <x:c r="B114" s="371" t="str">
        <x:v>Evidence Review</x:v>
      </x:c>
      <x:c r="C114" s="404" t="n">
        <x:f>IF('Client Overview'!F30="","",'Client Overview'!F30)</x:f>
        <x:v>46174</x:v>
      </x:c>
      <x:c r="D114" s="371" t="n">
        <x:f>'Client Overview'!M7</x:f>
        <x:v>12</x:v>
      </x:c>
      <x:c r="E114" s="404" t="n">
        <x:f>IF('Client Overview'!G30="","",'Client Overview'!G30)</x:f>
        <x:v>46539</x:v>
      </x:c>
      <x:c r="F114" s="405" t="n">
        <x:f>IF(E114="","",E114-TODAY())</x:f>
        <x:v>258</x:v>
      </x:c>
      <x:c r="G114" s="371" t="str">
        <x:f>IF(E114="","No Date",IF(F114&lt;='Client Overview'!O7*30.4375,"Red",IF(F114&lt;='Client Overview'!N7*30.4375,"Yellow","Green")))</x:f>
        <x:v>Green</x:v>
      </x:c>
    </x:row>
    <x:row r="115" ht="22" customHeight="1">
      <x:c r="A115" s="371" t="str">
        <x:f>'Client Overview'!A30</x:f>
        <x:v>Organization 25</x:v>
      </x:c>
      <x:c r="B115" s="371" t="str">
        <x:v>CIP Monthly Questions</x:v>
      </x:c>
      <x:c r="C115" s="404" t="str">
        <x:f>IF('Client Overview'!H30="","",'Client Overview'!H30)</x:f>
      </x:c>
      <x:c r="D115" s="371" t="n">
        <x:f>'Client Overview'!M8</x:f>
        <x:v>1</x:v>
      </x:c>
      <x:c r="E115" s="404" t="str">
        <x:f>IF('Client Overview'!I30="","",'Client Overview'!I30)</x:f>
      </x:c>
      <x:c r="F115" s="405" t="str">
        <x:f>IF(E115="","",E115-TODAY())</x:f>
      </x:c>
      <x:c r="G115" s="371" t="str">
        <x:f>IF(E115="","No Date",IF(F115&lt;='Client Overview'!O8*30.4375,"Red",IF(F115&lt;='Client Overview'!N8*30.4375,"Yellow","Green")))</x:f>
        <x:v>No Date</x:v>
      </x:c>
    </x:row>
    <x:row r="116" ht="22" customHeight="1">
      <x:c r="A116" s="371" t="str">
        <x:f>'Client Overview'!A31</x:f>
        <x:v>Organization 26</x:v>
      </x:c>
      <x:c r="B116" s="371" t="str">
        <x:v>Annual Review</x:v>
      </x:c>
      <x:c r="C116" s="404" t="n">
        <x:f>IF('Client Overview'!B31="","",'Client Overview'!B31)</x:f>
        <x:v>46037</x:v>
      </x:c>
      <x:c r="D116" s="371" t="n">
        <x:f>'Client Overview'!M5</x:f>
        <x:v>15</x:v>
      </x:c>
      <x:c r="E116" s="404" t="n">
        <x:f>IF('Client Overview'!C31="","",'Client Overview'!C31)</x:f>
        <x:v>46492</x:v>
      </x:c>
      <x:c r="F116" s="405" t="n">
        <x:f>IF(E116="","",E116-TODAY())</x:f>
        <x:v>211</x:v>
      </x:c>
      <x:c r="G116" s="371" t="str">
        <x:f>IF(E116="","No Date",IF(F116&lt;='Client Overview'!O5*30.4375,"Red",IF(F116&lt;='Client Overview'!N5*30.4375,"Yellow","Green")))</x:f>
        <x:v>Green</x:v>
      </x:c>
    </x:row>
    <x:row r="117" ht="22" customHeight="1">
      <x:c r="A117" s="371" t="str">
        <x:f>'Client Overview'!A31</x:f>
        <x:v>Organization 26</x:v>
      </x:c>
      <x:c r="B117" s="371" t="str">
        <x:v>CSIRP Tabletop Completion</x:v>
      </x:c>
      <x:c r="C117" s="404" t="n">
        <x:f>IF('Client Overview'!D31="","",'Client Overview'!D31)</x:f>
        <x:v>45214</x:v>
      </x:c>
      <x:c r="D117" s="371" t="n">
        <x:f>'Client Overview'!M6</x:f>
        <x:v>36</x:v>
      </x:c>
      <x:c r="E117" s="404" t="n">
        <x:f>IF('Client Overview'!E31="","",'Client Overview'!E31)</x:f>
        <x:v>46310</x:v>
      </x:c>
      <x:c r="F117" s="405" t="n">
        <x:f>IF(E117="","",E117-TODAY())</x:f>
        <x:v>29</x:v>
      </x:c>
      <x:c r="G117" s="371" t="str">
        <x:f>IF(E117="","No Date",IF(F117&lt;='Client Overview'!O6*30.4375,"Red",IF(F117&lt;='Client Overview'!N6*30.4375,"Yellow","Green")))</x:f>
        <x:v>Red</x:v>
      </x:c>
    </x:row>
    <x:row r="118" ht="22" customHeight="1">
      <x:c r="A118" s="371" t="str">
        <x:f>'Client Overview'!A31</x:f>
        <x:v>Organization 26</x:v>
      </x:c>
      <x:c r="B118" s="371" t="str">
        <x:v>Evidence Review</x:v>
      </x:c>
      <x:c r="C118" s="404" t="n">
        <x:f>IF('Client Overview'!F31="","",'Client Overview'!F31)</x:f>
        <x:v>46174</x:v>
      </x:c>
      <x:c r="D118" s="371" t="n">
        <x:f>'Client Overview'!M7</x:f>
        <x:v>12</x:v>
      </x:c>
      <x:c r="E118" s="404" t="n">
        <x:f>IF('Client Overview'!G31="","",'Client Overview'!G31)</x:f>
        <x:v>46539</x:v>
      </x:c>
      <x:c r="F118" s="405" t="n">
        <x:f>IF(E118="","",E118-TODAY())</x:f>
        <x:v>258</x:v>
      </x:c>
      <x:c r="G118" s="371" t="str">
        <x:f>IF(E118="","No Date",IF(F118&lt;='Client Overview'!O7*30.4375,"Red",IF(F118&lt;='Client Overview'!N7*30.4375,"Yellow","Green")))</x:f>
        <x:v>Green</x:v>
      </x:c>
    </x:row>
    <x:row r="119" ht="22" customHeight="1">
      <x:c r="A119" s="371" t="str">
        <x:f>'Client Overview'!A31</x:f>
        <x:v>Organization 26</x:v>
      </x:c>
      <x:c r="B119" s="371" t="str">
        <x:v>CIP Monthly Questions</x:v>
      </x:c>
      <x:c r="C119" s="404" t="str">
        <x:f>IF('Client Overview'!H31="","",'Client Overview'!H31)</x:f>
      </x:c>
      <x:c r="D119" s="371" t="n">
        <x:f>'Client Overview'!M8</x:f>
        <x:v>1</x:v>
      </x:c>
      <x:c r="E119" s="404" t="str">
        <x:f>IF('Client Overview'!I31="","",'Client Overview'!I31)</x:f>
      </x:c>
      <x:c r="F119" s="405" t="str">
        <x:f>IF(E119="","",E119-TODAY())</x:f>
      </x:c>
      <x:c r="G119" s="371" t="str">
        <x:f>IF(E119="","No Date",IF(F119&lt;='Client Overview'!O8*30.4375,"Red",IF(F119&lt;='Client Overview'!N8*30.4375,"Yellow","Green")))</x:f>
        <x:v>No Date</x:v>
      </x:c>
    </x:row>
    <x:row r="120" ht="22" customHeight="1">
      <x:c r="A120" s="371" t="str">
        <x:f>'Client Overview'!A32</x:f>
        <x:v>Organization 27</x:v>
      </x:c>
      <x:c r="B120" s="371" t="str">
        <x:v>Annual Review</x:v>
      </x:c>
      <x:c r="C120" s="404" t="n">
        <x:f>IF('Client Overview'!B32="","",'Client Overview'!B32)</x:f>
        <x:v>46037</x:v>
      </x:c>
      <x:c r="D120" s="371" t="n">
        <x:f>'Client Overview'!M5</x:f>
        <x:v>15</x:v>
      </x:c>
      <x:c r="E120" s="404" t="n">
        <x:f>IF('Client Overview'!C32="","",'Client Overview'!C32)</x:f>
        <x:v>46492</x:v>
      </x:c>
      <x:c r="F120" s="405" t="n">
        <x:f>IF(E120="","",E120-TODAY())</x:f>
        <x:v>211</x:v>
      </x:c>
      <x:c r="G120" s="371" t="str">
        <x:f>IF(E120="","No Date",IF(F120&lt;='Client Overview'!O5*30.4375,"Red",IF(F120&lt;='Client Overview'!N5*30.4375,"Yellow","Green")))</x:f>
        <x:v>Green</x:v>
      </x:c>
    </x:row>
    <x:row r="121" ht="22" customHeight="1">
      <x:c r="A121" s="371" t="str">
        <x:f>'Client Overview'!A32</x:f>
        <x:v>Organization 27</x:v>
      </x:c>
      <x:c r="B121" s="371" t="str">
        <x:v>CSIRP Tabletop Completion</x:v>
      </x:c>
      <x:c r="C121" s="404" t="n">
        <x:f>IF('Client Overview'!D32="","",'Client Overview'!D32)</x:f>
        <x:v>45214</x:v>
      </x:c>
      <x:c r="D121" s="371" t="n">
        <x:f>'Client Overview'!M6</x:f>
        <x:v>36</x:v>
      </x:c>
      <x:c r="E121" s="404" t="n">
        <x:f>IF('Client Overview'!E32="","",'Client Overview'!E32)</x:f>
        <x:v>46310</x:v>
      </x:c>
      <x:c r="F121" s="405" t="n">
        <x:f>IF(E121="","",E121-TODAY())</x:f>
        <x:v>29</x:v>
      </x:c>
      <x:c r="G121" s="371" t="str">
        <x:f>IF(E121="","No Date",IF(F121&lt;='Client Overview'!O6*30.4375,"Red",IF(F121&lt;='Client Overview'!N6*30.4375,"Yellow","Green")))</x:f>
        <x:v>Red</x:v>
      </x:c>
    </x:row>
    <x:row r="122" ht="22" customHeight="1">
      <x:c r="A122" s="371" t="str">
        <x:f>'Client Overview'!A32</x:f>
        <x:v>Organization 27</x:v>
      </x:c>
      <x:c r="B122" s="371" t="str">
        <x:v>Evidence Review</x:v>
      </x:c>
      <x:c r="C122" s="404" t="n">
        <x:f>IF('Client Overview'!F32="","",'Client Overview'!F32)</x:f>
        <x:v>46174</x:v>
      </x:c>
      <x:c r="D122" s="371" t="n">
        <x:f>'Client Overview'!M7</x:f>
        <x:v>12</x:v>
      </x:c>
      <x:c r="E122" s="404" t="n">
        <x:f>IF('Client Overview'!G32="","",'Client Overview'!G32)</x:f>
        <x:v>46539</x:v>
      </x:c>
      <x:c r="F122" s="405" t="n">
        <x:f>IF(E122="","",E122-TODAY())</x:f>
        <x:v>258</x:v>
      </x:c>
      <x:c r="G122" s="371" t="str">
        <x:f>IF(E122="","No Date",IF(F122&lt;='Client Overview'!O7*30.4375,"Red",IF(F122&lt;='Client Overview'!N7*30.4375,"Yellow","Green")))</x:f>
        <x:v>Green</x:v>
      </x:c>
    </x:row>
    <x:row r="123" ht="22" customHeight="1">
      <x:c r="A123" s="371" t="str">
        <x:f>'Client Overview'!A32</x:f>
        <x:v>Organization 27</x:v>
      </x:c>
      <x:c r="B123" s="371" t="str">
        <x:v>CIP Monthly Questions</x:v>
      </x:c>
      <x:c r="C123" s="404" t="str">
        <x:f>IF('Client Overview'!H32="","",'Client Overview'!H32)</x:f>
      </x:c>
      <x:c r="D123" s="371" t="n">
        <x:f>'Client Overview'!M8</x:f>
        <x:v>1</x:v>
      </x:c>
      <x:c r="E123" s="404" t="str">
        <x:f>IF('Client Overview'!I32="","",'Client Overview'!I32)</x:f>
      </x:c>
      <x:c r="F123" s="405" t="str">
        <x:f>IF(E123="","",E123-TODAY())</x:f>
      </x:c>
      <x:c r="G123" s="371" t="str">
        <x:f>IF(E123="","No Date",IF(F123&lt;='Client Overview'!O8*30.4375,"Red",IF(F123&lt;='Client Overview'!N8*30.4375,"Yellow","Green")))</x:f>
        <x:v>No Date</x:v>
      </x:c>
    </x:row>
    <x:row r="124" ht="22" customHeight="1">
      <x:c r="A124" s="371" t="str">
        <x:f>'Client Overview'!A33</x:f>
        <x:v>Organization 28</x:v>
      </x:c>
      <x:c r="B124" s="371" t="str">
        <x:v>Annual Review</x:v>
      </x:c>
      <x:c r="C124" s="404" t="n">
        <x:f>IF('Client Overview'!B33="","",'Client Overview'!B33)</x:f>
        <x:v>46037</x:v>
      </x:c>
      <x:c r="D124" s="371" t="n">
        <x:f>'Client Overview'!M5</x:f>
        <x:v>15</x:v>
      </x:c>
      <x:c r="E124" s="404" t="n">
        <x:f>IF('Client Overview'!C33="","",'Client Overview'!C33)</x:f>
        <x:v>46492</x:v>
      </x:c>
      <x:c r="F124" s="405" t="n">
        <x:f>IF(E124="","",E124-TODAY())</x:f>
        <x:v>211</x:v>
      </x:c>
      <x:c r="G124" s="371" t="str">
        <x:f>IF(E124="","No Date",IF(F124&lt;='Client Overview'!O5*30.4375,"Red",IF(F124&lt;='Client Overview'!N5*30.4375,"Yellow","Green")))</x:f>
        <x:v>Green</x:v>
      </x:c>
    </x:row>
    <x:row r="125" ht="22" customHeight="1">
      <x:c r="A125" s="371" t="str">
        <x:f>'Client Overview'!A33</x:f>
        <x:v>Organization 28</x:v>
      </x:c>
      <x:c r="B125" s="371" t="str">
        <x:v>CSIRP Tabletop Completion</x:v>
      </x:c>
      <x:c r="C125" s="404" t="n">
        <x:f>IF('Client Overview'!D33="","",'Client Overview'!D33)</x:f>
        <x:v>45214</x:v>
      </x:c>
      <x:c r="D125" s="371" t="n">
        <x:f>'Client Overview'!M6</x:f>
        <x:v>36</x:v>
      </x:c>
      <x:c r="E125" s="404" t="n">
        <x:f>IF('Client Overview'!E33="","",'Client Overview'!E33)</x:f>
        <x:v>46310</x:v>
      </x:c>
      <x:c r="F125" s="405" t="n">
        <x:f>IF(E125="","",E125-TODAY())</x:f>
        <x:v>29</x:v>
      </x:c>
      <x:c r="G125" s="371" t="str">
        <x:f>IF(E125="","No Date",IF(F125&lt;='Client Overview'!O6*30.4375,"Red",IF(F125&lt;='Client Overview'!N6*30.4375,"Yellow","Green")))</x:f>
        <x:v>Red</x:v>
      </x:c>
    </x:row>
    <x:row r="126" ht="22" customHeight="1">
      <x:c r="A126" s="371" t="str">
        <x:f>'Client Overview'!A33</x:f>
        <x:v>Organization 28</x:v>
      </x:c>
      <x:c r="B126" s="371" t="str">
        <x:v>Evidence Review</x:v>
      </x:c>
      <x:c r="C126" s="404" t="n">
        <x:f>IF('Client Overview'!F33="","",'Client Overview'!F33)</x:f>
        <x:v>46174</x:v>
      </x:c>
      <x:c r="D126" s="371" t="n">
        <x:f>'Client Overview'!M7</x:f>
        <x:v>12</x:v>
      </x:c>
      <x:c r="E126" s="404" t="n">
        <x:f>IF('Client Overview'!G33="","",'Client Overview'!G33)</x:f>
        <x:v>46539</x:v>
      </x:c>
      <x:c r="F126" s="405" t="n">
        <x:f>IF(E126="","",E126-TODAY())</x:f>
        <x:v>258</x:v>
      </x:c>
      <x:c r="G126" s="371" t="str">
        <x:f>IF(E126="","No Date",IF(F126&lt;='Client Overview'!O7*30.4375,"Red",IF(F126&lt;='Client Overview'!N7*30.4375,"Yellow","Green")))</x:f>
        <x:v>Green</x:v>
      </x:c>
    </x:row>
    <x:row r="127" ht="22" customHeight="1">
      <x:c r="A127" s="371" t="str">
        <x:f>'Client Overview'!A33</x:f>
        <x:v>Organization 28</x:v>
      </x:c>
      <x:c r="B127" s="371" t="str">
        <x:v>CIP Monthly Questions</x:v>
      </x:c>
      <x:c r="C127" s="404" t="str">
        <x:f>IF('Client Overview'!H33="","",'Client Overview'!H33)</x:f>
      </x:c>
      <x:c r="D127" s="371" t="n">
        <x:f>'Client Overview'!M8</x:f>
        <x:v>1</x:v>
      </x:c>
      <x:c r="E127" s="404" t="str">
        <x:f>IF('Client Overview'!I33="","",'Client Overview'!I33)</x:f>
      </x:c>
      <x:c r="F127" s="405" t="str">
        <x:f>IF(E127="","",E127-TODAY())</x:f>
      </x:c>
      <x:c r="G127" s="371" t="str">
        <x:f>IF(E127="","No Date",IF(F127&lt;='Client Overview'!O8*30.4375,"Red",IF(F127&lt;='Client Overview'!N8*30.4375,"Yellow","Green")))</x:f>
        <x:v>No Date</x:v>
      </x:c>
    </x:row>
    <x:row r="128" ht="22" customHeight="1">
      <x:c r="A128" s="371" t="str">
        <x:f>'Client Overview'!A34</x:f>
        <x:v>Organization 29</x:v>
      </x:c>
      <x:c r="B128" s="371" t="str">
        <x:v>Annual Review</x:v>
      </x:c>
      <x:c r="C128" s="404" t="n">
        <x:f>IF('Client Overview'!B34="","",'Client Overview'!B34)</x:f>
        <x:v>46037</x:v>
      </x:c>
      <x:c r="D128" s="371" t="n">
        <x:f>'Client Overview'!M5</x:f>
        <x:v>15</x:v>
      </x:c>
      <x:c r="E128" s="404" t="n">
        <x:f>IF('Client Overview'!C34="","",'Client Overview'!C34)</x:f>
        <x:v>46492</x:v>
      </x:c>
      <x:c r="F128" s="405" t="n">
        <x:f>IF(E128="","",E128-TODAY())</x:f>
        <x:v>211</x:v>
      </x:c>
      <x:c r="G128" s="371" t="str">
        <x:f>IF(E128="","No Date",IF(F128&lt;='Client Overview'!O5*30.4375,"Red",IF(F128&lt;='Client Overview'!N5*30.4375,"Yellow","Green")))</x:f>
        <x:v>Green</x:v>
      </x:c>
    </x:row>
    <x:row r="129" ht="22" customHeight="1">
      <x:c r="A129" s="371" t="str">
        <x:f>'Client Overview'!A34</x:f>
        <x:v>Organization 29</x:v>
      </x:c>
      <x:c r="B129" s="371" t="str">
        <x:v>CSIRP Tabletop Completion</x:v>
      </x:c>
      <x:c r="C129" s="404" t="n">
        <x:f>IF('Client Overview'!D34="","",'Client Overview'!D34)</x:f>
        <x:v>45214</x:v>
      </x:c>
      <x:c r="D129" s="371" t="n">
        <x:f>'Client Overview'!M6</x:f>
        <x:v>36</x:v>
      </x:c>
      <x:c r="E129" s="404" t="n">
        <x:f>IF('Client Overview'!E34="","",'Client Overview'!E34)</x:f>
        <x:v>46310</x:v>
      </x:c>
      <x:c r="F129" s="405" t="n">
        <x:f>IF(E129="","",E129-TODAY())</x:f>
        <x:v>29</x:v>
      </x:c>
      <x:c r="G129" s="371" t="str">
        <x:f>IF(E129="","No Date",IF(F129&lt;='Client Overview'!O6*30.4375,"Red",IF(F129&lt;='Client Overview'!N6*30.4375,"Yellow","Green")))</x:f>
        <x:v>Red</x:v>
      </x:c>
    </x:row>
    <x:row r="130" ht="22" customHeight="1">
      <x:c r="A130" s="371" t="str">
        <x:f>'Client Overview'!A34</x:f>
        <x:v>Organization 29</x:v>
      </x:c>
      <x:c r="B130" s="371" t="str">
        <x:v>Evidence Review</x:v>
      </x:c>
      <x:c r="C130" s="404" t="n">
        <x:f>IF('Client Overview'!F34="","",'Client Overview'!F34)</x:f>
        <x:v>46174</x:v>
      </x:c>
      <x:c r="D130" s="371" t="n">
        <x:f>'Client Overview'!M7</x:f>
        <x:v>12</x:v>
      </x:c>
      <x:c r="E130" s="404" t="n">
        <x:f>IF('Client Overview'!G34="","",'Client Overview'!G34)</x:f>
        <x:v>46539</x:v>
      </x:c>
      <x:c r="F130" s="405" t="n">
        <x:f>IF(E130="","",E130-TODAY())</x:f>
        <x:v>258</x:v>
      </x:c>
      <x:c r="G130" s="371" t="str">
        <x:f>IF(E130="","No Date",IF(F130&lt;='Client Overview'!O7*30.4375,"Red",IF(F130&lt;='Client Overview'!N7*30.4375,"Yellow","Green")))</x:f>
        <x:v>Green</x:v>
      </x:c>
    </x:row>
    <x:row r="131" ht="22" customHeight="1">
      <x:c r="A131" s="371" t="str">
        <x:f>'Client Overview'!A34</x:f>
        <x:v>Organization 29</x:v>
      </x:c>
      <x:c r="B131" s="371" t="str">
        <x:v>CIP Monthly Questions</x:v>
      </x:c>
      <x:c r="C131" s="404" t="str">
        <x:f>IF('Client Overview'!H34="","",'Client Overview'!H34)</x:f>
      </x:c>
      <x:c r="D131" s="371" t="n">
        <x:f>'Client Overview'!M8</x:f>
        <x:v>1</x:v>
      </x:c>
      <x:c r="E131" s="404" t="str">
        <x:f>IF('Client Overview'!I34="","",'Client Overview'!I34)</x:f>
      </x:c>
      <x:c r="F131" s="405" t="str">
        <x:f>IF(E131="","",E131-TODAY())</x:f>
      </x:c>
      <x:c r="G131" s="371" t="str">
        <x:f>IF(E131="","No Date",IF(F131&lt;='Client Overview'!O8*30.4375,"Red",IF(F131&lt;='Client Overview'!N8*30.4375,"Yellow","Green")))</x:f>
        <x:v>No Date</x:v>
      </x:c>
    </x:row>
    <x:row r="132" ht="22" customHeight="1">
      <x:c r="A132" s="371" t="str">
        <x:f>'Client Overview'!A35</x:f>
        <x:v>Organization 30</x:v>
      </x:c>
      <x:c r="B132" s="371" t="str">
        <x:v>Annual Review</x:v>
      </x:c>
      <x:c r="C132" s="404" t="n">
        <x:f>IF('Client Overview'!B35="","",'Client Overview'!B35)</x:f>
        <x:v>46037</x:v>
      </x:c>
      <x:c r="D132" s="371" t="n">
        <x:f>'Client Overview'!M5</x:f>
        <x:v>15</x:v>
      </x:c>
      <x:c r="E132" s="404" t="n">
        <x:f>IF('Client Overview'!C35="","",'Client Overview'!C35)</x:f>
        <x:v>46492</x:v>
      </x:c>
      <x:c r="F132" s="405" t="n">
        <x:f>IF(E132="","",E132-TODAY())</x:f>
        <x:v>211</x:v>
      </x:c>
      <x:c r="G132" s="371" t="str">
        <x:f>IF(E132="","No Date",IF(F132&lt;='Client Overview'!O5*30.4375,"Red",IF(F132&lt;='Client Overview'!N5*30.4375,"Yellow","Green")))</x:f>
        <x:v>Green</x:v>
      </x:c>
    </x:row>
    <x:row r="133" ht="22" customHeight="1">
      <x:c r="A133" s="371" t="str">
        <x:f>'Client Overview'!A35</x:f>
        <x:v>Organization 30</x:v>
      </x:c>
      <x:c r="B133" s="371" t="str">
        <x:v>CSIRP Tabletop Completion</x:v>
      </x:c>
      <x:c r="C133" s="404" t="n">
        <x:f>IF('Client Overview'!D35="","",'Client Overview'!D35)</x:f>
        <x:v>45214</x:v>
      </x:c>
      <x:c r="D133" s="371" t="n">
        <x:f>'Client Overview'!M6</x:f>
        <x:v>36</x:v>
      </x:c>
      <x:c r="E133" s="404" t="n">
        <x:f>IF('Client Overview'!E35="","",'Client Overview'!E35)</x:f>
        <x:v>46310</x:v>
      </x:c>
      <x:c r="F133" s="405" t="n">
        <x:f>IF(E133="","",E133-TODAY())</x:f>
        <x:v>29</x:v>
      </x:c>
      <x:c r="G133" s="371" t="str">
        <x:f>IF(E133="","No Date",IF(F133&lt;='Client Overview'!O6*30.4375,"Red",IF(F133&lt;='Client Overview'!N6*30.4375,"Yellow","Green")))</x:f>
        <x:v>Red</x:v>
      </x:c>
    </x:row>
    <x:row r="134" ht="22" customHeight="1">
      <x:c r="A134" s="371" t="str">
        <x:f>'Client Overview'!A35</x:f>
        <x:v>Organization 30</x:v>
      </x:c>
      <x:c r="B134" s="371" t="str">
        <x:v>Evidence Review</x:v>
      </x:c>
      <x:c r="C134" s="404" t="n">
        <x:f>IF('Client Overview'!F35="","",'Client Overview'!F35)</x:f>
        <x:v>46174</x:v>
      </x:c>
      <x:c r="D134" s="371" t="n">
        <x:f>'Client Overview'!M7</x:f>
        <x:v>12</x:v>
      </x:c>
      <x:c r="E134" s="404" t="n">
        <x:f>IF('Client Overview'!G35="","",'Client Overview'!G35)</x:f>
        <x:v>46539</x:v>
      </x:c>
      <x:c r="F134" s="405" t="n">
        <x:f>IF(E134="","",E134-TODAY())</x:f>
        <x:v>258</x:v>
      </x:c>
      <x:c r="G134" s="371" t="str">
        <x:f>IF(E134="","No Date",IF(F134&lt;='Client Overview'!O7*30.4375,"Red",IF(F134&lt;='Client Overview'!N7*30.4375,"Yellow","Green")))</x:f>
        <x:v>Green</x:v>
      </x:c>
    </x:row>
    <x:row r="135" ht="22" customHeight="1">
      <x:c r="A135" s="371" t="str">
        <x:f>'Client Overview'!A35</x:f>
        <x:v>Organization 30</x:v>
      </x:c>
      <x:c r="B135" s="371" t="str">
        <x:v>CIP Monthly Questions</x:v>
      </x:c>
      <x:c r="C135" s="404" t="str">
        <x:f>IF('Client Overview'!H35="","",'Client Overview'!H35)</x:f>
      </x:c>
      <x:c r="D135" s="371" t="n">
        <x:f>'Client Overview'!M8</x:f>
        <x:v>1</x:v>
      </x:c>
      <x:c r="E135" s="404" t="str">
        <x:f>IF('Client Overview'!I35="","",'Client Overview'!I35)</x:f>
      </x:c>
      <x:c r="F135" s="405" t="str">
        <x:f>IF(E135="","",E135-TODAY())</x:f>
      </x:c>
      <x:c r="G135" s="371" t="str">
        <x:f>IF(E135="","No Date",IF(F135&lt;='Client Overview'!O8*30.4375,"Red",IF(F135&lt;='Client Overview'!N8*30.4375,"Yellow","Green")))</x:f>
        <x:v>No Date</x:v>
      </x:c>
    </x:row>
    <x:row r="136" ht="22" customHeight="1">
      <x:c r="A136" s="371" t="str">
        <x:f>'Client Overview'!A36</x:f>
        <x:v>Organization 31</x:v>
      </x:c>
      <x:c r="B136" s="371" t="str">
        <x:v>Annual Review</x:v>
      </x:c>
      <x:c r="C136" s="404" t="n">
        <x:f>IF('Client Overview'!B36="","",'Client Overview'!B36)</x:f>
        <x:v>46037</x:v>
      </x:c>
      <x:c r="D136" s="371" t="n">
        <x:f>'Client Overview'!M5</x:f>
        <x:v>15</x:v>
      </x:c>
      <x:c r="E136" s="404" t="n">
        <x:f>IF('Client Overview'!C36="","",'Client Overview'!C36)</x:f>
        <x:v>46492</x:v>
      </x:c>
      <x:c r="F136" s="405" t="n">
        <x:f>IF(E136="","",E136-TODAY())</x:f>
        <x:v>211</x:v>
      </x:c>
      <x:c r="G136" s="371" t="str">
        <x:f>IF(E136="","No Date",IF(F136&lt;='Client Overview'!O5*30.4375,"Red",IF(F136&lt;='Client Overview'!N5*30.4375,"Yellow","Green")))</x:f>
        <x:v>Green</x:v>
      </x:c>
    </x:row>
    <x:row r="137" ht="22" customHeight="1">
      <x:c r="A137" s="371" t="str">
        <x:f>'Client Overview'!A36</x:f>
        <x:v>Organization 31</x:v>
      </x:c>
      <x:c r="B137" s="371" t="str">
        <x:v>CSIRP Tabletop Completion</x:v>
      </x:c>
      <x:c r="C137" s="404" t="n">
        <x:f>IF('Client Overview'!D36="","",'Client Overview'!D36)</x:f>
        <x:v>45214</x:v>
      </x:c>
      <x:c r="D137" s="371" t="n">
        <x:f>'Client Overview'!M6</x:f>
        <x:v>36</x:v>
      </x:c>
      <x:c r="E137" s="404" t="n">
        <x:f>IF('Client Overview'!E36="","",'Client Overview'!E36)</x:f>
        <x:v>46310</x:v>
      </x:c>
      <x:c r="F137" s="405" t="n">
        <x:f>IF(E137="","",E137-TODAY())</x:f>
        <x:v>29</x:v>
      </x:c>
      <x:c r="G137" s="371" t="str">
        <x:f>IF(E137="","No Date",IF(F137&lt;='Client Overview'!O6*30.4375,"Red",IF(F137&lt;='Client Overview'!N6*30.4375,"Yellow","Green")))</x:f>
        <x:v>Red</x:v>
      </x:c>
    </x:row>
    <x:row r="138" ht="22" customHeight="1">
      <x:c r="A138" s="371" t="str">
        <x:f>'Client Overview'!A36</x:f>
        <x:v>Organization 31</x:v>
      </x:c>
      <x:c r="B138" s="371" t="str">
        <x:v>Evidence Review</x:v>
      </x:c>
      <x:c r="C138" s="404" t="n">
        <x:f>IF('Client Overview'!F36="","",'Client Overview'!F36)</x:f>
        <x:v>46174</x:v>
      </x:c>
      <x:c r="D138" s="371" t="n">
        <x:f>'Client Overview'!M7</x:f>
        <x:v>12</x:v>
      </x:c>
      <x:c r="E138" s="404" t="n">
        <x:f>IF('Client Overview'!G36="","",'Client Overview'!G36)</x:f>
        <x:v>46539</x:v>
      </x:c>
      <x:c r="F138" s="405" t="n">
        <x:f>IF(E138="","",E138-TODAY())</x:f>
        <x:v>258</x:v>
      </x:c>
      <x:c r="G138" s="371" t="str">
        <x:f>IF(E138="","No Date",IF(F138&lt;='Client Overview'!O7*30.4375,"Red",IF(F138&lt;='Client Overview'!N7*30.4375,"Yellow","Green")))</x:f>
        <x:v>Green</x:v>
      </x:c>
    </x:row>
    <x:row r="139" ht="22" customHeight="1">
      <x:c r="A139" s="371" t="str">
        <x:f>'Client Overview'!A36</x:f>
        <x:v>Organization 31</x:v>
      </x:c>
      <x:c r="B139" s="371" t="str">
        <x:v>CIP Monthly Questions</x:v>
      </x:c>
      <x:c r="C139" s="404" t="str">
        <x:f>IF('Client Overview'!H36="","",'Client Overview'!H36)</x:f>
      </x:c>
      <x:c r="D139" s="371" t="n">
        <x:f>'Client Overview'!M8</x:f>
        <x:v>1</x:v>
      </x:c>
      <x:c r="E139" s="404" t="str">
        <x:f>IF('Client Overview'!I36="","",'Client Overview'!I36)</x:f>
      </x:c>
      <x:c r="F139" s="405" t="str">
        <x:f>IF(E139="","",E139-TODAY())</x:f>
      </x:c>
      <x:c r="G139" s="371" t="str">
        <x:f>IF(E139="","No Date",IF(F139&lt;='Client Overview'!O8*30.4375,"Red",IF(F139&lt;='Client Overview'!N8*30.4375,"Yellow","Green")))</x:f>
        <x:v>No Date</x:v>
      </x:c>
    </x:row>
    <x:row r="140" ht="22" customHeight="1">
      <x:c r="A140" s="371" t="str">
        <x:f>'Client Overview'!A37</x:f>
        <x:v>Organization 32</x:v>
      </x:c>
      <x:c r="B140" s="371" t="str">
        <x:v>Annual Review</x:v>
      </x:c>
      <x:c r="C140" s="404" t="n">
        <x:f>IF('Client Overview'!B37="","",'Client Overview'!B37)</x:f>
        <x:v>46037</x:v>
      </x:c>
      <x:c r="D140" s="371" t="n">
        <x:f>'Client Overview'!M5</x:f>
        <x:v>15</x:v>
      </x:c>
      <x:c r="E140" s="404" t="n">
        <x:f>IF('Client Overview'!C37="","",'Client Overview'!C37)</x:f>
        <x:v>46492</x:v>
      </x:c>
      <x:c r="F140" s="405" t="n">
        <x:f>IF(E140="","",E140-TODAY())</x:f>
        <x:v>211</x:v>
      </x:c>
      <x:c r="G140" s="371" t="str">
        <x:f>IF(E140="","No Date",IF(F140&lt;='Client Overview'!O5*30.4375,"Red",IF(F140&lt;='Client Overview'!N5*30.4375,"Yellow","Green")))</x:f>
        <x:v>Green</x:v>
      </x:c>
    </x:row>
    <x:row r="141" ht="22" customHeight="1">
      <x:c r="A141" s="371" t="str">
        <x:f>'Client Overview'!A37</x:f>
        <x:v>Organization 32</x:v>
      </x:c>
      <x:c r="B141" s="371" t="str">
        <x:v>CSIRP Tabletop Completion</x:v>
      </x:c>
      <x:c r="C141" s="404" t="n">
        <x:f>IF('Client Overview'!D37="","",'Client Overview'!D37)</x:f>
        <x:v>45214</x:v>
      </x:c>
      <x:c r="D141" s="371" t="n">
        <x:f>'Client Overview'!M6</x:f>
        <x:v>36</x:v>
      </x:c>
      <x:c r="E141" s="404" t="n">
        <x:f>IF('Client Overview'!E37="","",'Client Overview'!E37)</x:f>
        <x:v>46310</x:v>
      </x:c>
      <x:c r="F141" s="405" t="n">
        <x:f>IF(E141="","",E141-TODAY())</x:f>
        <x:v>29</x:v>
      </x:c>
      <x:c r="G141" s="371" t="str">
        <x:f>IF(E141="","No Date",IF(F141&lt;='Client Overview'!O6*30.4375,"Red",IF(F141&lt;='Client Overview'!N6*30.4375,"Yellow","Green")))</x:f>
        <x:v>Red</x:v>
      </x:c>
    </x:row>
    <x:row r="142" ht="22" customHeight="1">
      <x:c r="A142" s="371" t="str">
        <x:f>'Client Overview'!A37</x:f>
        <x:v>Organization 32</x:v>
      </x:c>
      <x:c r="B142" s="371" t="str">
        <x:v>Evidence Review</x:v>
      </x:c>
      <x:c r="C142" s="404" t="n">
        <x:f>IF('Client Overview'!F37="","",'Client Overview'!F37)</x:f>
        <x:v>46174</x:v>
      </x:c>
      <x:c r="D142" s="371" t="n">
        <x:f>'Client Overview'!M7</x:f>
        <x:v>12</x:v>
      </x:c>
      <x:c r="E142" s="404" t="n">
        <x:f>IF('Client Overview'!G37="","",'Client Overview'!G37)</x:f>
        <x:v>46539</x:v>
      </x:c>
      <x:c r="F142" s="405" t="n">
        <x:f>IF(E142="","",E142-TODAY())</x:f>
        <x:v>258</x:v>
      </x:c>
      <x:c r="G142" s="371" t="str">
        <x:f>IF(E142="","No Date",IF(F142&lt;='Client Overview'!O7*30.4375,"Red",IF(F142&lt;='Client Overview'!N7*30.4375,"Yellow","Green")))</x:f>
        <x:v>Green</x:v>
      </x:c>
    </x:row>
    <x:row r="143" ht="22" customHeight="1">
      <x:c r="A143" s="371" t="str">
        <x:f>'Client Overview'!A37</x:f>
        <x:v>Organization 32</x:v>
      </x:c>
      <x:c r="B143" s="371" t="str">
        <x:v>CIP Monthly Questions</x:v>
      </x:c>
      <x:c r="C143" s="404" t="str">
        <x:f>IF('Client Overview'!H37="","",'Client Overview'!H37)</x:f>
      </x:c>
      <x:c r="D143" s="371" t="n">
        <x:f>'Client Overview'!M8</x:f>
        <x:v>1</x:v>
      </x:c>
      <x:c r="E143" s="404" t="str">
        <x:f>IF('Client Overview'!I37="","",'Client Overview'!I37)</x:f>
      </x:c>
      <x:c r="F143" s="405" t="str">
        <x:f>IF(E143="","",E143-TODAY())</x:f>
      </x:c>
      <x:c r="G143" s="371" t="str">
        <x:f>IF(E143="","No Date",IF(F143&lt;='Client Overview'!O8*30.4375,"Red",IF(F143&lt;='Client Overview'!N8*30.4375,"Yellow","Green")))</x:f>
        <x:v>No Date</x:v>
      </x:c>
    </x:row>
    <x:row r="144" ht="22" customHeight="1">
      <x:c r="A144" s="371" t="str">
        <x:f>'Client Overview'!A38</x:f>
        <x:v>Organization 33</x:v>
      </x:c>
      <x:c r="B144" s="371" t="str">
        <x:v>Annual Review</x:v>
      </x:c>
      <x:c r="C144" s="404" t="n">
        <x:f>IF('Client Overview'!B38="","",'Client Overview'!B38)</x:f>
        <x:v>46037</x:v>
      </x:c>
      <x:c r="D144" s="371" t="n">
        <x:f>'Client Overview'!M5</x:f>
        <x:v>15</x:v>
      </x:c>
      <x:c r="E144" s="404" t="n">
        <x:f>IF('Client Overview'!C38="","",'Client Overview'!C38)</x:f>
        <x:v>46492</x:v>
      </x:c>
      <x:c r="F144" s="405" t="n">
        <x:f>IF(E144="","",E144-TODAY())</x:f>
        <x:v>211</x:v>
      </x:c>
      <x:c r="G144" s="371" t="str">
        <x:f>IF(E144="","No Date",IF(F144&lt;='Client Overview'!O5*30.4375,"Red",IF(F144&lt;='Client Overview'!N5*30.4375,"Yellow","Green")))</x:f>
        <x:v>Green</x:v>
      </x:c>
    </x:row>
    <x:row r="145" ht="22" customHeight="1">
      <x:c r="A145" s="371" t="str">
        <x:f>'Client Overview'!A38</x:f>
        <x:v>Organization 33</x:v>
      </x:c>
      <x:c r="B145" s="371" t="str">
        <x:v>CSIRP Tabletop Completion</x:v>
      </x:c>
      <x:c r="C145" s="404" t="n">
        <x:f>IF('Client Overview'!D38="","",'Client Overview'!D38)</x:f>
        <x:v>45214</x:v>
      </x:c>
      <x:c r="D145" s="371" t="n">
        <x:f>'Client Overview'!M6</x:f>
        <x:v>36</x:v>
      </x:c>
      <x:c r="E145" s="404" t="n">
        <x:f>IF('Client Overview'!E38="","",'Client Overview'!E38)</x:f>
        <x:v>46310</x:v>
      </x:c>
      <x:c r="F145" s="405" t="n">
        <x:f>IF(E145="","",E145-TODAY())</x:f>
        <x:v>29</x:v>
      </x:c>
      <x:c r="G145" s="371" t="str">
        <x:f>IF(E145="","No Date",IF(F145&lt;='Client Overview'!O6*30.4375,"Red",IF(F145&lt;='Client Overview'!N6*30.4375,"Yellow","Green")))</x:f>
        <x:v>Red</x:v>
      </x:c>
    </x:row>
    <x:row r="146" ht="22" customHeight="1">
      <x:c r="A146" s="371" t="str">
        <x:f>'Client Overview'!A38</x:f>
        <x:v>Organization 33</x:v>
      </x:c>
      <x:c r="B146" s="371" t="str">
        <x:v>Evidence Review</x:v>
      </x:c>
      <x:c r="C146" s="404" t="n">
        <x:f>IF('Client Overview'!F38="","",'Client Overview'!F38)</x:f>
        <x:v>46174</x:v>
      </x:c>
      <x:c r="D146" s="371" t="n">
        <x:f>'Client Overview'!M7</x:f>
        <x:v>12</x:v>
      </x:c>
      <x:c r="E146" s="404" t="n">
        <x:f>IF('Client Overview'!G38="","",'Client Overview'!G38)</x:f>
        <x:v>46539</x:v>
      </x:c>
      <x:c r="F146" s="405" t="n">
        <x:f>IF(E146="","",E146-TODAY())</x:f>
        <x:v>258</x:v>
      </x:c>
      <x:c r="G146" s="371" t="str">
        <x:f>IF(E146="","No Date",IF(F146&lt;='Client Overview'!O7*30.4375,"Red",IF(F146&lt;='Client Overview'!N7*30.4375,"Yellow","Green")))</x:f>
        <x:v>Green</x:v>
      </x:c>
    </x:row>
    <x:row r="147" ht="22" customHeight="1">
      <x:c r="A147" s="371" t="str">
        <x:f>'Client Overview'!A38</x:f>
        <x:v>Organization 33</x:v>
      </x:c>
      <x:c r="B147" s="371" t="str">
        <x:v>CIP Monthly Questions</x:v>
      </x:c>
      <x:c r="C147" s="404" t="str">
        <x:f>IF('Client Overview'!H38="","",'Client Overview'!H38)</x:f>
      </x:c>
      <x:c r="D147" s="371" t="n">
        <x:f>'Client Overview'!M8</x:f>
        <x:v>1</x:v>
      </x:c>
      <x:c r="E147" s="404" t="str">
        <x:f>IF('Client Overview'!I38="","",'Client Overview'!I38)</x:f>
      </x:c>
      <x:c r="F147" s="405" t="str">
        <x:f>IF(E147="","",E147-TODAY())</x:f>
      </x:c>
      <x:c r="G147" s="371" t="str">
        <x:f>IF(E147="","No Date",IF(F147&lt;='Client Overview'!O8*30.4375,"Red",IF(F147&lt;='Client Overview'!N8*30.4375,"Yellow","Green")))</x:f>
        <x:v>No Date</x:v>
      </x:c>
    </x:row>
    <x:row r="148" ht="22" customHeight="1">
      <x:c r="A148" s="371" t="str">
        <x:f>'Client Overview'!A39</x:f>
        <x:v>Organization 34</x:v>
      </x:c>
      <x:c r="B148" s="371" t="str">
        <x:v>Annual Review</x:v>
      </x:c>
      <x:c r="C148" s="404" t="n">
        <x:f>IF('Client Overview'!B39="","",'Client Overview'!B39)</x:f>
        <x:v>46037</x:v>
      </x:c>
      <x:c r="D148" s="371" t="n">
        <x:f>'Client Overview'!M5</x:f>
        <x:v>15</x:v>
      </x:c>
      <x:c r="E148" s="404" t="n">
        <x:f>IF('Client Overview'!C39="","",'Client Overview'!C39)</x:f>
        <x:v>46492</x:v>
      </x:c>
      <x:c r="F148" s="405" t="n">
        <x:f>IF(E148="","",E148-TODAY())</x:f>
        <x:v>211</x:v>
      </x:c>
      <x:c r="G148" s="371" t="str">
        <x:f>IF(E148="","No Date",IF(F148&lt;='Client Overview'!O5*30.4375,"Red",IF(F148&lt;='Client Overview'!N5*30.4375,"Yellow","Green")))</x:f>
        <x:v>Green</x:v>
      </x:c>
    </x:row>
    <x:row r="149" ht="22" customHeight="1">
      <x:c r="A149" s="371" t="str">
        <x:f>'Client Overview'!A39</x:f>
        <x:v>Organization 34</x:v>
      </x:c>
      <x:c r="B149" s="371" t="str">
        <x:v>CSIRP Tabletop Completion</x:v>
      </x:c>
      <x:c r="C149" s="404" t="n">
        <x:f>IF('Client Overview'!D39="","",'Client Overview'!D39)</x:f>
        <x:v>45214</x:v>
      </x:c>
      <x:c r="D149" s="371" t="n">
        <x:f>'Client Overview'!M6</x:f>
        <x:v>36</x:v>
      </x:c>
      <x:c r="E149" s="404" t="n">
        <x:f>IF('Client Overview'!E39="","",'Client Overview'!E39)</x:f>
        <x:v>46310</x:v>
      </x:c>
      <x:c r="F149" s="405" t="n">
        <x:f>IF(E149="","",E149-TODAY())</x:f>
        <x:v>29</x:v>
      </x:c>
      <x:c r="G149" s="371" t="str">
        <x:f>IF(E149="","No Date",IF(F149&lt;='Client Overview'!O6*30.4375,"Red",IF(F149&lt;='Client Overview'!N6*30.4375,"Yellow","Green")))</x:f>
        <x:v>Red</x:v>
      </x:c>
    </x:row>
    <x:row r="150" ht="22" customHeight="1">
      <x:c r="A150" s="371" t="str">
        <x:f>'Client Overview'!A39</x:f>
        <x:v>Organization 34</x:v>
      </x:c>
      <x:c r="B150" s="371" t="str">
        <x:v>Evidence Review</x:v>
      </x:c>
      <x:c r="C150" s="404" t="n">
        <x:f>IF('Client Overview'!F39="","",'Client Overview'!F39)</x:f>
        <x:v>46174</x:v>
      </x:c>
      <x:c r="D150" s="371" t="n">
        <x:f>'Client Overview'!M7</x:f>
        <x:v>12</x:v>
      </x:c>
      <x:c r="E150" s="404" t="n">
        <x:f>IF('Client Overview'!G39="","",'Client Overview'!G39)</x:f>
        <x:v>46539</x:v>
      </x:c>
      <x:c r="F150" s="405" t="n">
        <x:f>IF(E150="","",E150-TODAY())</x:f>
        <x:v>258</x:v>
      </x:c>
      <x:c r="G150" s="371" t="str">
        <x:f>IF(E150="","No Date",IF(F150&lt;='Client Overview'!O7*30.4375,"Red",IF(F150&lt;='Client Overview'!N7*30.4375,"Yellow","Green")))</x:f>
        <x:v>Green</x:v>
      </x:c>
    </x:row>
    <x:row r="151" ht="22" customHeight="1">
      <x:c r="A151" s="371" t="str">
        <x:f>'Client Overview'!A39</x:f>
        <x:v>Organization 34</x:v>
      </x:c>
      <x:c r="B151" s="371" t="str">
        <x:v>CIP Monthly Questions</x:v>
      </x:c>
      <x:c r="C151" s="404" t="str">
        <x:f>IF('Client Overview'!H39="","",'Client Overview'!H39)</x:f>
      </x:c>
      <x:c r="D151" s="371" t="n">
        <x:f>'Client Overview'!M8</x:f>
        <x:v>1</x:v>
      </x:c>
      <x:c r="E151" s="404" t="str">
        <x:f>IF('Client Overview'!I39="","",'Client Overview'!I39)</x:f>
      </x:c>
      <x:c r="F151" s="405" t="str">
        <x:f>IF(E151="","",E151-TODAY())</x:f>
      </x:c>
      <x:c r="G151" s="371" t="str">
        <x:f>IF(E151="","No Date",IF(F151&lt;='Client Overview'!O8*30.4375,"Red",IF(F151&lt;='Client Overview'!N8*30.4375,"Yellow","Green")))</x:f>
        <x:v>No Date</x:v>
      </x:c>
    </x:row>
    <x:row r="152" ht="22" customHeight="1">
      <x:c r="A152" s="371" t="str">
        <x:f>'Client Overview'!A40</x:f>
        <x:v>Organization 35</x:v>
      </x:c>
      <x:c r="B152" s="371" t="str">
        <x:v>Annual Review</x:v>
      </x:c>
      <x:c r="C152" s="404" t="n">
        <x:f>IF('Client Overview'!B40="","",'Client Overview'!B40)</x:f>
        <x:v>46037</x:v>
      </x:c>
      <x:c r="D152" s="371" t="n">
        <x:f>'Client Overview'!M5</x:f>
        <x:v>15</x:v>
      </x:c>
      <x:c r="E152" s="404" t="n">
        <x:f>IF('Client Overview'!C40="","",'Client Overview'!C40)</x:f>
        <x:v>46492</x:v>
      </x:c>
      <x:c r="F152" s="405" t="n">
        <x:f>IF(E152="","",E152-TODAY())</x:f>
        <x:v>211</x:v>
      </x:c>
      <x:c r="G152" s="371" t="str">
        <x:f>IF(E152="","No Date",IF(F152&lt;='Client Overview'!O5*30.4375,"Red",IF(F152&lt;='Client Overview'!N5*30.4375,"Yellow","Green")))</x:f>
        <x:v>Green</x:v>
      </x:c>
    </x:row>
    <x:row r="153" ht="22" customHeight="1">
      <x:c r="A153" s="371" t="str">
        <x:f>'Client Overview'!A40</x:f>
        <x:v>Organization 35</x:v>
      </x:c>
      <x:c r="B153" s="371" t="str">
        <x:v>CSIRP Tabletop Completion</x:v>
      </x:c>
      <x:c r="C153" s="404" t="n">
        <x:f>IF('Client Overview'!D40="","",'Client Overview'!D40)</x:f>
        <x:v>45214</x:v>
      </x:c>
      <x:c r="D153" s="371" t="n">
        <x:f>'Client Overview'!M6</x:f>
        <x:v>36</x:v>
      </x:c>
      <x:c r="E153" s="404" t="n">
        <x:f>IF('Client Overview'!E40="","",'Client Overview'!E40)</x:f>
        <x:v>46310</x:v>
      </x:c>
      <x:c r="F153" s="405" t="n">
        <x:f>IF(E153="","",E153-TODAY())</x:f>
        <x:v>29</x:v>
      </x:c>
      <x:c r="G153" s="371" t="str">
        <x:f>IF(E153="","No Date",IF(F153&lt;='Client Overview'!O6*30.4375,"Red",IF(F153&lt;='Client Overview'!N6*30.4375,"Yellow","Green")))</x:f>
        <x:v>Red</x:v>
      </x:c>
    </x:row>
    <x:row r="154" ht="22" customHeight="1">
      <x:c r="A154" s="371" t="str">
        <x:f>'Client Overview'!A40</x:f>
        <x:v>Organization 35</x:v>
      </x:c>
      <x:c r="B154" s="371" t="str">
        <x:v>Evidence Review</x:v>
      </x:c>
      <x:c r="C154" s="404" t="n">
        <x:f>IF('Client Overview'!F40="","",'Client Overview'!F40)</x:f>
        <x:v>46174</x:v>
      </x:c>
      <x:c r="D154" s="371" t="n">
        <x:f>'Client Overview'!M7</x:f>
        <x:v>12</x:v>
      </x:c>
      <x:c r="E154" s="404" t="n">
        <x:f>IF('Client Overview'!G40="","",'Client Overview'!G40)</x:f>
        <x:v>46539</x:v>
      </x:c>
      <x:c r="F154" s="405" t="n">
        <x:f>IF(E154="","",E154-TODAY())</x:f>
        <x:v>258</x:v>
      </x:c>
      <x:c r="G154" s="371" t="str">
        <x:f>IF(E154="","No Date",IF(F154&lt;='Client Overview'!O7*30.4375,"Red",IF(F154&lt;='Client Overview'!N7*30.4375,"Yellow","Green")))</x:f>
        <x:v>Green</x:v>
      </x:c>
    </x:row>
    <x:row r="155" ht="22" customHeight="1">
      <x:c r="A155" s="371" t="str">
        <x:f>'Client Overview'!A40</x:f>
        <x:v>Organization 35</x:v>
      </x:c>
      <x:c r="B155" s="371" t="str">
        <x:v>CIP Monthly Questions</x:v>
      </x:c>
      <x:c r="C155" s="404" t="str">
        <x:f>IF('Client Overview'!H40="","",'Client Overview'!H40)</x:f>
      </x:c>
      <x:c r="D155" s="371" t="n">
        <x:f>'Client Overview'!M8</x:f>
        <x:v>1</x:v>
      </x:c>
      <x:c r="E155" s="404" t="str">
        <x:f>IF('Client Overview'!I40="","",'Client Overview'!I40)</x:f>
      </x:c>
      <x:c r="F155" s="405" t="str">
        <x:f>IF(E155="","",E155-TODAY())</x:f>
      </x:c>
      <x:c r="G155" s="371" t="str">
        <x:f>IF(E155="","No Date",IF(F155&lt;='Client Overview'!O8*30.4375,"Red",IF(F155&lt;='Client Overview'!N8*30.4375,"Yellow","Green")))</x:f>
        <x:v>No Date</x:v>
      </x:c>
    </x:row>
    <x:row r="156" ht="22" customHeight="1">
      <x:c r="A156"/>
      <x:c r="B156"/>
      <x:c r="C156"/>
      <x:c r="D156"/>
      <x:c r="E156"/>
      <x:c r="F156"/>
      <x:c r="G156"/>
    </x:row>
    <x:row r="157" ht="22" customHeight="1">
      <x:c r="A157"/>
      <x:c r="B157"/>
      <x:c r="C157"/>
      <x:c r="D157"/>
      <x:c r="E157"/>
      <x:c r="F157"/>
      <x:c r="G157"/>
    </x:row>
    <x:row r="158" ht="22" customHeight="1">
      <x:c r="A158"/>
      <x:c r="B158"/>
      <x:c r="C158"/>
      <x:c r="D158"/>
      <x:c r="E158"/>
      <x:c r="F158"/>
      <x:c r="G158"/>
    </x:row>
    <x:row r="159" ht="22" customHeight="1">
      <x:c r="A159"/>
      <x:c r="B159"/>
      <x:c r="C159"/>
      <x:c r="D159"/>
      <x:c r="E159"/>
      <x:c r="F159"/>
      <x:c r="G159"/>
    </x:row>
    <x:row r="160" ht="22" customHeight="1">
      <x:c r="A160"/>
      <x:c r="B160"/>
      <x:c r="C160"/>
      <x:c r="D160"/>
      <x:c r="E160"/>
      <x:c r="F160"/>
      <x:c r="G160"/>
    </x:row>
    <x:row r="161" ht="22" customHeight="1">
      <x:c r="A161"/>
      <x:c r="B161"/>
      <x:c r="C161"/>
      <x:c r="D161"/>
      <x:c r="E161"/>
      <x:c r="F161"/>
      <x:c r="G161"/>
    </x:row>
    <x:row r="162" ht="22" customHeight="1">
      <x:c r="A162"/>
      <x:c r="B162"/>
      <x:c r="C162"/>
      <x:c r="D162"/>
      <x:c r="E162"/>
      <x:c r="F162"/>
      <x:c r="G162"/>
    </x:row>
    <x:row r="163" ht="22" customHeight="1">
      <x:c r="A163"/>
      <x:c r="B163"/>
      <x:c r="C163"/>
      <x:c r="D163"/>
      <x:c r="E163"/>
      <x:c r="F163"/>
      <x:c r="G163"/>
    </x:row>
    <x:row r="164" ht="22" customHeight="1">
      <x:c r="A164"/>
      <x:c r="B164"/>
      <x:c r="C164"/>
      <x:c r="D164"/>
      <x:c r="E164"/>
      <x:c r="F164"/>
      <x:c r="G164"/>
    </x:row>
    <x:row r="165" ht="22" customHeight="1">
      <x:c r="A165"/>
      <x:c r="B165"/>
      <x:c r="C165"/>
      <x:c r="D165"/>
      <x:c r="E165"/>
      <x:c r="F165"/>
      <x:c r="G165"/>
    </x:row>
    <x:row r="166" ht="22" customHeight="1">
      <x:c r="A166"/>
      <x:c r="B166"/>
      <x:c r="C166"/>
      <x:c r="D166"/>
      <x:c r="E166"/>
      <x:c r="F166"/>
      <x:c r="G166"/>
    </x:row>
    <x:row r="167" ht="22" customHeight="1">
      <x:c r="A167"/>
      <x:c r="B167"/>
      <x:c r="C167"/>
      <x:c r="D167"/>
      <x:c r="E167"/>
      <x:c r="F167"/>
      <x:c r="G167"/>
    </x:row>
    <x:row r="168" ht="22" customHeight="1">
      <x:c r="A168"/>
      <x:c r="B168"/>
      <x:c r="C168"/>
      <x:c r="D168"/>
      <x:c r="E168"/>
      <x:c r="F168"/>
      <x:c r="G168"/>
    </x:row>
    <x:row r="169" ht="22" customHeight="1">
      <x:c r="A169"/>
      <x:c r="B169"/>
      <x:c r="C169"/>
      <x:c r="D169"/>
      <x:c r="E169"/>
      <x:c r="F169"/>
      <x:c r="G169"/>
    </x:row>
    <x:row r="170" ht="22" customHeight="1">
      <x:c r="A170"/>
      <x:c r="B170"/>
      <x:c r="C170"/>
      <x:c r="D170"/>
      <x:c r="E170"/>
      <x:c r="F170"/>
      <x:c r="G170"/>
    </x:row>
    <x:row r="171" ht="22" customHeight="1">
      <x:c r="A171"/>
      <x:c r="B171"/>
      <x:c r="C171"/>
      <x:c r="D171"/>
      <x:c r="E171"/>
      <x:c r="F171"/>
      <x:c r="G171"/>
    </x:row>
    <x:row r="172" ht="22" customHeight="1">
      <x:c r="A172"/>
      <x:c r="B172"/>
      <x:c r="C172"/>
      <x:c r="D172"/>
      <x:c r="E172"/>
      <x:c r="F172"/>
      <x:c r="G172"/>
    </x:row>
    <x:row r="173" ht="22" customHeight="1">
      <x:c r="A173"/>
      <x:c r="B173"/>
      <x:c r="C173"/>
      <x:c r="D173"/>
      <x:c r="E173"/>
      <x:c r="F173"/>
      <x:c r="G173"/>
    </x:row>
    <x:row r="174" ht="22" customHeight="1">
      <x:c r="A174"/>
      <x:c r="B174"/>
      <x:c r="C174"/>
      <x:c r="D174"/>
      <x:c r="E174"/>
      <x:c r="F174"/>
      <x:c r="G174"/>
    </x:row>
    <x:row r="175" ht="22" customHeight="1">
      <x:c r="A175"/>
      <x:c r="B175"/>
      <x:c r="C175"/>
      <x:c r="D175"/>
      <x:c r="E175"/>
      <x:c r="F175"/>
      <x:c r="G175"/>
    </x:row>
    <x:row r="176" ht="22" customHeight="1">
      <x:c r="A176"/>
      <x:c r="B176"/>
      <x:c r="C176"/>
      <x:c r="D176"/>
      <x:c r="E176"/>
      <x:c r="F176"/>
      <x:c r="G176"/>
    </x:row>
    <x:row r="177" ht="22" customHeight="1">
      <x:c r="A177"/>
      <x:c r="B177"/>
      <x:c r="C177"/>
      <x:c r="D177"/>
      <x:c r="E177"/>
      <x:c r="F177"/>
      <x:c r="G177"/>
    </x:row>
    <x:row r="178" ht="22" customHeight="1">
      <x:c r="A178"/>
      <x:c r="B178"/>
      <x:c r="C178"/>
      <x:c r="D178"/>
      <x:c r="E178"/>
      <x:c r="F178"/>
      <x:c r="G178"/>
    </x:row>
    <x:row r="179" ht="22" customHeight="1">
      <x:c r="A179"/>
      <x:c r="B179"/>
      <x:c r="C179"/>
      <x:c r="D179"/>
      <x:c r="E179"/>
      <x:c r="F179"/>
      <x:c r="G179"/>
    </x:row>
    <x:row r="180" ht="22" customHeight="1">
      <x:c r="A180"/>
      <x:c r="B180"/>
      <x:c r="C180"/>
      <x:c r="D180"/>
      <x:c r="E180"/>
      <x:c r="F180"/>
      <x:c r="G180"/>
    </x:row>
    <x:row r="181" ht="22" customHeight="1">
      <x:c r="A181"/>
      <x:c r="B181"/>
      <x:c r="C181"/>
      <x:c r="D181"/>
      <x:c r="E181"/>
      <x:c r="F181"/>
      <x:c r="G181"/>
    </x:row>
    <x:row r="182" ht="22" customHeight="1">
      <x:c r="A182"/>
      <x:c r="B182"/>
      <x:c r="C182"/>
      <x:c r="D182"/>
      <x:c r="E182"/>
      <x:c r="F182"/>
      <x:c r="G182"/>
    </x:row>
    <x:row r="183" ht="22" customHeight="1">
      <x:c r="A183"/>
      <x:c r="B183"/>
      <x:c r="C183"/>
      <x:c r="D183"/>
      <x:c r="E183"/>
      <x:c r="F183"/>
      <x:c r="G183"/>
    </x:row>
    <x:row r="184" ht="22" customHeight="1">
      <x:c r="A184"/>
      <x:c r="B184"/>
      <x:c r="C184"/>
      <x:c r="D184"/>
      <x:c r="E184"/>
      <x:c r="F184"/>
      <x:c r="G184"/>
    </x:row>
    <x:row r="185" ht="22" customHeight="1">
      <x:c r="A185"/>
      <x:c r="B185"/>
      <x:c r="C185"/>
      <x:c r="D185"/>
      <x:c r="E185"/>
      <x:c r="F185"/>
      <x:c r="G185"/>
    </x:row>
    <x:row r="186" ht="22" customHeight="1">
      <x:c r="A186"/>
      <x:c r="B186"/>
      <x:c r="C186"/>
      <x:c r="D186"/>
      <x:c r="E186"/>
      <x:c r="F186"/>
      <x:c r="G186"/>
    </x:row>
    <x:row r="187" ht="22" customHeight="1">
      <x:c r="A187"/>
      <x:c r="B187"/>
      <x:c r="C187"/>
      <x:c r="D187"/>
      <x:c r="E187"/>
      <x:c r="F187"/>
      <x:c r="G187"/>
    </x:row>
    <x:row r="188" ht="22" customHeight="1">
      <x:c r="A188"/>
      <x:c r="B188"/>
      <x:c r="C188"/>
      <x:c r="D188"/>
      <x:c r="E188"/>
      <x:c r="F188"/>
      <x:c r="G188"/>
    </x:row>
    <x:row r="189" ht="22" customHeight="1">
      <x:c r="A189"/>
      <x:c r="B189"/>
      <x:c r="C189"/>
      <x:c r="D189"/>
      <x:c r="E189"/>
      <x:c r="F189"/>
      <x:c r="G189"/>
    </x:row>
    <x:row r="190" ht="22" customHeight="1">
      <x:c r="A190"/>
      <x:c r="B190"/>
      <x:c r="C190"/>
      <x:c r="D190"/>
      <x:c r="E190"/>
      <x:c r="F190"/>
      <x:c r="G190"/>
    </x:row>
    <x:row r="191" ht="22" customHeight="1">
      <x:c r="A191"/>
      <x:c r="B191"/>
      <x:c r="C191"/>
      <x:c r="D191"/>
      <x:c r="E191"/>
      <x:c r="F191"/>
      <x:c r="G191"/>
    </x:row>
    <x:row r="192" ht="22" customHeight="1">
      <x:c r="A192"/>
      <x:c r="B192"/>
      <x:c r="C192"/>
      <x:c r="D192"/>
      <x:c r="E192"/>
      <x:c r="F192"/>
      <x:c r="G192"/>
    </x:row>
    <x:row r="193" ht="22" customHeight="1">
      <x:c r="A193"/>
      <x:c r="B193"/>
      <x:c r="C193"/>
      <x:c r="D193"/>
      <x:c r="E193"/>
      <x:c r="F193"/>
      <x:c r="G193"/>
    </x:row>
    <x:row r="194" ht="22" customHeight="1">
      <x:c r="A194"/>
      <x:c r="B194"/>
      <x:c r="C194"/>
      <x:c r="D194"/>
      <x:c r="E194"/>
      <x:c r="F194"/>
      <x:c r="G194"/>
    </x:row>
    <x:row r="195" ht="22" customHeight="1">
      <x:c r="A195"/>
      <x:c r="B195"/>
      <x:c r="C195"/>
      <x:c r="D195"/>
      <x:c r="E195"/>
      <x:c r="F195"/>
      <x:c r="G195"/>
    </x:row>
    <x:row r="196" ht="22" customHeight="1">
      <x:c r="A196"/>
      <x:c r="B196"/>
      <x:c r="C196"/>
      <x:c r="D196"/>
      <x:c r="E196"/>
      <x:c r="F196"/>
      <x:c r="G196"/>
    </x:row>
    <x:row r="197" ht="22" customHeight="1">
      <x:c r="A197"/>
      <x:c r="B197"/>
      <x:c r="C197"/>
      <x:c r="D197"/>
      <x:c r="E197"/>
      <x:c r="F197"/>
      <x:c r="G197"/>
    </x:row>
    <x:row r="198" ht="22" customHeight="1">
      <x:c r="A198"/>
      <x:c r="B198"/>
      <x:c r="C198"/>
      <x:c r="D198"/>
      <x:c r="E198"/>
      <x:c r="F198"/>
      <x:c r="G198"/>
    </x:row>
    <x:row r="199" ht="22" customHeight="1">
      <x:c r="A199"/>
      <x:c r="B199"/>
      <x:c r="C199"/>
      <x:c r="D199"/>
      <x:c r="E199"/>
      <x:c r="F199"/>
      <x:c r="G199"/>
    </x:row>
    <x:row r="200" ht="22" customHeight="1">
      <x:c r="A200"/>
      <x:c r="B200"/>
      <x:c r="C200"/>
      <x:c r="D200"/>
      <x:c r="E200"/>
      <x:c r="F200"/>
      <x:c r="G200"/>
    </x:row>
    <x:row r="201" ht="22" customHeight="1">
      <x:c r="A201"/>
      <x:c r="B201"/>
      <x:c r="C201"/>
      <x:c r="D201"/>
      <x:c r="E201"/>
      <x:c r="F201"/>
      <x:c r="G201"/>
    </x:row>
    <x:row r="202" ht="22" customHeight="1">
      <x:c r="A202"/>
      <x:c r="B202"/>
      <x:c r="C202"/>
      <x:c r="D202"/>
      <x:c r="E202"/>
      <x:c r="F202"/>
      <x:c r="G202"/>
    </x:row>
    <x:row r="203" ht="22" customHeight="1">
      <x:c r="A203"/>
      <x:c r="B203"/>
      <x:c r="C203"/>
      <x:c r="D203"/>
      <x:c r="E203"/>
      <x:c r="F203"/>
      <x:c r="G203"/>
    </x:row>
    <x:row r="204" ht="22" customHeight="1">
      <x:c r="A204"/>
      <x:c r="B204"/>
      <x:c r="C204"/>
      <x:c r="D204"/>
      <x:c r="E204"/>
      <x:c r="F204"/>
      <x:c r="G204"/>
    </x:row>
    <x:row r="205" ht="22" customHeight="1">
      <x:c r="A205"/>
      <x:c r="B205"/>
      <x:c r="C205"/>
      <x:c r="D205"/>
      <x:c r="E205"/>
      <x:c r="F205"/>
      <x:c r="G205"/>
    </x:row>
    <x:row r="206" ht="22" customHeight="1">
      <x:c r="A206"/>
      <x:c r="B206"/>
      <x:c r="C206"/>
      <x:c r="D206"/>
      <x:c r="E206"/>
      <x:c r="F206"/>
      <x:c r="G206"/>
    </x:row>
    <x:row r="207" ht="22" customHeight="1">
      <x:c r="A207"/>
      <x:c r="B207"/>
      <x:c r="C207"/>
      <x:c r="D207"/>
      <x:c r="E207"/>
      <x:c r="F207"/>
      <x:c r="G207"/>
    </x:row>
    <x:row r="208" ht="22" customHeight="1">
      <x:c r="A208"/>
      <x:c r="B208"/>
      <x:c r="C208"/>
      <x:c r="D208"/>
      <x:c r="E208"/>
      <x:c r="F208"/>
      <x:c r="G208"/>
    </x:row>
    <x:row r="209" ht="22" customHeight="1">
      <x:c r="A209"/>
      <x:c r="B209"/>
      <x:c r="C209"/>
      <x:c r="D209"/>
      <x:c r="E209"/>
      <x:c r="F209"/>
      <x:c r="G209"/>
    </x:row>
    <x:row r="210" ht="22" customHeight="1">
      <x:c r="A210"/>
      <x:c r="B210"/>
      <x:c r="C210"/>
      <x:c r="D210"/>
      <x:c r="E210"/>
      <x:c r="F210"/>
      <x:c r="G210"/>
    </x:row>
    <x:row r="211" ht="22" customHeight="1">
      <x:c r="A211"/>
      <x:c r="B211"/>
      <x:c r="C211"/>
      <x:c r="D211"/>
      <x:c r="E211"/>
      <x:c r="F211"/>
      <x:c r="G211"/>
    </x:row>
    <x:row r="212" ht="22" customHeight="1">
      <x:c r="A212"/>
      <x:c r="B212"/>
      <x:c r="C212"/>
      <x:c r="D212"/>
      <x:c r="E212"/>
      <x:c r="F212"/>
      <x:c r="G212"/>
    </x:row>
    <x:row r="213" ht="22" customHeight="1">
      <x:c r="A213"/>
      <x:c r="B213"/>
      <x:c r="C213"/>
      <x:c r="D213"/>
      <x:c r="E213"/>
      <x:c r="F213"/>
      <x:c r="G213"/>
    </x:row>
    <x:row r="214" ht="22" customHeight="1">
      <x:c r="A214"/>
      <x:c r="B214"/>
      <x:c r="C214"/>
      <x:c r="D214"/>
      <x:c r="E214"/>
      <x:c r="F214"/>
      <x:c r="G214"/>
    </x:row>
    <x:row r="215" ht="22" customHeight="1">
      <x:c r="A215"/>
      <x:c r="B215"/>
      <x:c r="C215"/>
      <x:c r="D215"/>
      <x:c r="E215"/>
      <x:c r="F215"/>
      <x:c r="G215"/>
    </x:row>
    <x:row r="216" ht="22" customHeight="1">
      <x:c r="A216"/>
      <x:c r="B216"/>
      <x:c r="C216"/>
      <x:c r="D216"/>
      <x:c r="E216"/>
      <x:c r="F216"/>
      <x:c r="G216"/>
    </x:row>
    <x:row r="217" ht="22" customHeight="1">
      <x:c r="A217"/>
      <x:c r="B217"/>
      <x:c r="C217"/>
      <x:c r="D217"/>
      <x:c r="E217"/>
      <x:c r="F217"/>
      <x:c r="G217"/>
    </x:row>
    <x:row r="218" ht="22" customHeight="1">
      <x:c r="A218"/>
      <x:c r="B218"/>
      <x:c r="C218"/>
      <x:c r="D218"/>
      <x:c r="E218"/>
      <x:c r="F218"/>
      <x:c r="G218"/>
    </x:row>
    <x:row r="219" ht="22" customHeight="1">
      <x:c r="A219"/>
      <x:c r="B219"/>
      <x:c r="C219"/>
      <x:c r="D219"/>
      <x:c r="E219"/>
      <x:c r="F219"/>
      <x:c r="G219"/>
    </x:row>
    <x:row r="220" ht="22" customHeight="1">
      <x:c r="A220"/>
      <x:c r="B220"/>
      <x:c r="C220"/>
      <x:c r="D220"/>
      <x:c r="E220"/>
      <x:c r="F220"/>
      <x:c r="G220"/>
    </x:row>
    <x:row r="221" ht="22" customHeight="1">
      <x:c r="A221"/>
      <x:c r="B221"/>
      <x:c r="C221"/>
      <x:c r="D221"/>
      <x:c r="E221"/>
      <x:c r="F221"/>
      <x:c r="G221"/>
    </x:row>
    <x:row r="222" ht="22" customHeight="1">
      <x:c r="A222"/>
      <x:c r="B222"/>
      <x:c r="C222"/>
      <x:c r="D222"/>
      <x:c r="E222"/>
      <x:c r="F222"/>
      <x:c r="G222"/>
    </x:row>
    <x:row r="223" ht="22" customHeight="1">
      <x:c r="A223"/>
      <x:c r="B223"/>
      <x:c r="C223"/>
      <x:c r="D223"/>
      <x:c r="E223"/>
      <x:c r="F223"/>
      <x:c r="G223"/>
    </x:row>
    <x:row r="224" ht="22" customHeight="1">
      <x:c r="A224"/>
      <x:c r="B224"/>
      <x:c r="C224"/>
      <x:c r="D224"/>
      <x:c r="E224"/>
      <x:c r="F224"/>
      <x:c r="G224"/>
    </x:row>
    <x:row r="225" ht="22" customHeight="1">
      <x:c r="A225"/>
      <x:c r="B225"/>
      <x:c r="C225"/>
      <x:c r="D225"/>
      <x:c r="E225"/>
      <x:c r="F225"/>
      <x:c r="G225"/>
    </x:row>
  </x:sheetData>
  <x:mergeCells>
    <x:mergeCell ref="B4:C4"/>
    <x:mergeCell ref="E4:G4"/>
    <x:mergeCell ref="A10:G10"/>
    <x:mergeCell ref="A13:G13"/>
    <x:mergeCell ref="A1:G1"/>
    <x:mergeCell ref="A2:G2"/>
    <x:mergeCell ref="A12:G12"/>
  </x:mergeCells>
  <x:conditionalFormatting sqref="C7:G7">
    <x:cfRule type="expression" dxfId="15" priority="1">
      <x:formula>$G7="Green"</x:formula>
    </x:cfRule>
    <x:cfRule type="expression" dxfId="16" priority="2">
      <x:formula>$G7="Yellow"</x:formula>
    </x:cfRule>
    <x:cfRule type="expression" dxfId="17" priority="3">
      <x:formula>$G7="Red"</x:formula>
    </x:cfRule>
    <x:cfRule type="expression" dxfId="18" priority="4">
      <x:formula>$G7="No Date"</x:formula>
    </x:cfRule>
  </x:conditionalFormatting>
  <x:conditionalFormatting sqref="C16:G225">
    <x:cfRule type="expression" dxfId="41" priority="5">
      <x:formula>$G16="Green"</x:formula>
    </x:cfRule>
    <x:cfRule type="expression" dxfId="42" priority="6">
      <x:formula>$G16="Yellow"</x:formula>
    </x:cfRule>
    <x:cfRule type="expression" dxfId="43" priority="7">
      <x:formula>$G16="Red"</x:formula>
    </x:cfRule>
    <x:cfRule type="expression" dxfId="44" priority="8">
      <x:formula>$G16="No Date"</x:formula>
    </x:cfRule>
    <x:cfRule type="expression" dxfId="63" priority="9">
      <x:formula>$G16="Green"</x:formula>
    </x:cfRule>
    <x:cfRule type="expression" dxfId="64" priority="10">
      <x:formula>$G16="Yellow"</x:formula>
    </x:cfRule>
    <x:cfRule type="expression" dxfId="65" priority="11">
      <x:formula>$G16="Red"</x:formula>
    </x:cfRule>
    <x:cfRule type="expression" dxfId="66" priority="12">
      <x:formula>$G16="No Date"</x:formula>
    </x:cfRule>
  </x:conditionalFormatting>
  <x:conditionalFormatting sqref="G16:G155">
    <x:cfRule type="expression" dxfId="83" priority="13">
      <x:formula>$G16="Green"</x:formula>
    </x:cfRule>
    <x:cfRule type="expression" dxfId="84" priority="14">
      <x:formula>$G16="Yellow"</x:formula>
    </x:cfRule>
    <x:cfRule type="expression" dxfId="85" priority="15">
      <x:formula>$G16="Red"</x:formula>
    </x:cfRule>
    <x:cfRule type="expression" dxfId="86" priority="16">
      <x:formula>$G16="No Date"</x:formula>
    </x:cfRule>
  </x:conditionalFormatting>
  <x:dataValidations count="2">
    <x:dataValidation type="list" sqref="B4">
      <x:formula1>'Filtered View'!$J$2:$J$36</x:formula1>
    </x:dataValidation>
    <x:dataValidation type="list" sqref="E4">
      <x:formula1>'Filtered View'!$K$2:$K$5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164ae905fc4455"/>
  </x:tableParts>
</x:worksheet>
</file>