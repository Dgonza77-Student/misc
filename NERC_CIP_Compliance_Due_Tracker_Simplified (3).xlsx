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b1b2059b1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Overview" sheetId="1" r:id="R8777846610724ad1"/>
    <x:sheet xmlns:r="http://schemas.openxmlformats.org/officeDocument/2006/relationships" name="Filtered View" sheetId="2" r:id="Rd4ed82bf642845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/d/yyyy"/>
    <x:numFmt numFmtId="201" formatCode="0"/>
    <x:numFmt numFmtId="202" formatCode="0.##"/>
  </x:numFmts>
  <x:fonts count="12">
    <x:font>
      <x:sz val="11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  <x:font>
      <x:b/>
      <x:sz val="11"/>
      <x:color rgb="FF1F2937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  <x:font>
      <x:b/>
      <x:sz val="11"/>
      <x:color rgb="FF595959"/>
      <x:name val="Carlito"/>
    </x:font>
    <x:font>
      <x:sz val="11"/>
      <x:color rgb="FF475569"/>
      <x:name val="Carlito"/>
    </x:font>
    <x:font>
      <x:i/>
      <x:sz val="11"/>
      <x:color rgb="FF595959"/>
      <x:name val="Carlito"/>
    </x:font>
    <x:font>
      <x:sz val="11"/>
      <x:color rgb="FFFFFFFF"/>
      <x:name val="Carlito"/>
    </x:font>
    <x:font>
      <x:sz val="11"/>
      <x:color rgb="FF1F2937"/>
      <x:name val="Carlito"/>
    </x:font>
  </x:fonts>
  <x:fills count="38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EF4F8"/>
      </x:patternFill>
    </x:fill>
    <x:fill>
      <x:patternFill patternType="solid">
        <x:fgColor rgb="FFFFF7D6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8FAFC"/>
      </x:patternFill>
    </x:fill>
    <x:fill>
      <x:patternFill patternType="solid">
        <x:fgColor rgb="FFE7E6E6"/>
      </x:patternFill>
    </x:fill>
    <x:fill>
      <x:patternFill patternType="solid">
        <x:fgColor rgb="FF123A5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23A5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EF4F8"/>
      </x:patternFill>
    </x:fill>
    <x:fill>
      <x:patternFill patternType="solid">
        <x:fgColor rgb="FFFFF7D6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8FAFC"/>
      </x:patternFill>
    </x:fill>
    <x:fill>
      <x:patternFill patternType="solid">
        <x:fgColor rgb="FFE7E6E6"/>
      </x:patternFill>
    </x:fill>
    <x:fill>
      <x:patternFill patternType="solid">
        <x:fgColor rgb="FF123A5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EF4F8"/>
      </x:patternFill>
    </x:fill>
    <x:fill>
      <x:patternFill patternType="solid">
        <x:fgColor rgb="FFFFF7D6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8FAFC"/>
      </x:patternFill>
    </x:fill>
    <x:fill>
      <x:patternFill patternType="solid">
        <x:fgColor rgb="FFE7E6E6"/>
      </x:patternFill>
    </x:fill>
  </x:fills>
  <x:borders count="15">
    <x:border/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bottom style="thin">
        <x:color rgb="FFD6DEE5"/>
      </x:bottom>
    </x:border>
    <x:border>
      <x:left style="thin">
        <x:color rgb="FFD6DEE5"/>
      </x:left>
      <x:right style="thin">
        <x:color rgb="FFD6DEE5"/>
      </x:right>
      <x:bottom style="thin">
        <x:color rgb="FFD6DEE5"/>
      </x:bottom>
    </x:border>
    <x:border>
      <x:left style="thin">
        <x:color rgb="FFD6DEE5"/>
      </x:left>
      <x:bottom style="thin">
        <x:color rgb="FFD6DEE5"/>
      </x:bottom>
    </x:border>
    <x:border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D6DEE5"/>
      </x:left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top style="thin">
        <x:color rgb="FFD6DEE5"/>
      </x:top>
    </x:border>
    <x:border>
      <x:left style="thin">
        <x:color rgb="FFD6DEE5"/>
      </x:left>
      <x:right style="thin">
        <x:color rgb="FFD6DEE5"/>
      </x:right>
      <x:top style="thin">
        <x:color rgb="FFD6DEE5"/>
      </x:top>
    </x:border>
    <x:border>
      <x:left style="thin">
        <x:color rgb="FFD6DEE5"/>
      </x:left>
      <x:top style="thin">
        <x:color rgb="FFD6DEE5"/>
      </x:top>
    </x:border>
    <x:border>
      <x:top style="thin">
        <x:color rgb="FFD6DEE5"/>
      </x:top>
    </x:border>
    <x:border>
      <x:left style="thin">
        <x:color rgb="FFD6DEE5"/>
      </x:left>
    </x:border>
    <x:border>
      <x:right style="thin">
        <x:color rgb="FFD6DEE5"/>
      </x:right>
    </x:border>
    <x:border>
      <x:bottom style="thin">
        <x:color rgb="FFD6DEE5"/>
      </x:bottom>
    </x:border>
    <x:border>
      <x:top style="thin">
        <x:color rgb="FFD6DEE5"/>
      </x:top>
      <x:bottom style="thin">
        <x:color rgb="FFD6DEE5"/>
      </x:bottom>
    </x:border>
  </x:borders>
  <x:cellStyleXfs count="1">
    <x:xf numFmtId="0" fontId="0" fillId="0" borderId="0"/>
  </x:cellStyleXfs>
  <x:cellXfs count="3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/>
    <x:xf numFmtId="200" fontId="0" fillId="0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/>
    <x:xf numFmtId="200" fontId="0" fillId="0" borderId="8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0" fontId="0" fillId="5" borderId="3" xfId="0" applyNumberFormat="1" applyFont="1" applyFill="1" applyBorder="1" applyAlignment="1">
      <x:alignment horizontal="center"/>
    </x:xf>
    <x:xf numFmtId="200" fontId="0" fillId="5" borderId="4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 applyAlignment="1">
      <x:alignment horizontal="center"/>
    </x:xf>
    <x:xf numFmtId="200" fontId="0" fillId="5" borderId="6" xfId="0" applyNumberFormat="1" applyFont="1" applyFill="1" applyBorder="1" applyAlignment="1">
      <x:alignment horizontal="center"/>
    </x:xf>
    <x:xf numFmtId="200" fontId="0" fillId="5" borderId="8" xfId="0" applyNumberFormat="1" applyFont="1" applyFill="1" applyBorder="1" applyAlignment="1">
      <x:alignment horizontal="center"/>
    </x:xf>
    <x:xf numFmtId="200" fontId="0" fillId="5" borderId="9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horizontal="center"/>
    </x:xf>
    <x:xf numFmtId="201" fontId="0" fillId="7" borderId="1" xfId="0" applyNumberFormat="1" applyFont="1" applyFill="1" applyBorder="1" applyAlignment="1">
      <x:alignment horizontal="center"/>
    </x:xf>
    <x:xf numFmtId="202" fontId="0" fillId="7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6" fillId="10" borderId="1" xfId="0" applyNumberFormat="1" applyFont="1" applyFill="1" applyBorder="1"/>
    <x:xf numFmtId="0" fontId="6" fillId="10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9" xfId="0" applyNumberFormat="1" applyFont="1" applyFill="1" applyBorder="1"/>
    <x:xf numFmtId="0" fontId="8" fillId="11" borderId="10" xfId="0" applyNumberFormat="1" applyFont="1" applyFill="1" applyBorder="1"/>
    <x:xf numFmtId="0" fontId="8" fillId="11" borderId="7" xfId="0" applyNumberFormat="1" applyFont="1" applyFill="1" applyBorder="1"/>
    <x:xf numFmtId="0" fontId="8" fillId="11" borderId="11" xfId="0" applyNumberFormat="1" applyFont="1" applyFill="1" applyBorder="1"/>
    <x:xf numFmtId="0" fontId="8" fillId="11" borderId="12" xfId="0" applyNumberFormat="1" applyFont="1" applyFill="1" applyBorder="1"/>
    <x:xf numFmtId="0" fontId="8" fillId="11" borderId="4" xfId="0" applyNumberFormat="1" applyFont="1" applyFill="1" applyBorder="1"/>
    <x:xf numFmtId="0" fontId="8" fillId="11" borderId="13" xfId="0" applyNumberFormat="1" applyFont="1" applyFill="1" applyBorder="1"/>
    <x:xf numFmtId="0" fontId="8" fillId="11" borderId="2" xfId="0" applyNumberFormat="1" applyFont="1" applyFill="1" applyBorder="1"/>
    <x:xf numFmtId="0" fontId="8" fillId="11" borderId="9" xfId="0" applyNumberFormat="1" applyFont="1" applyFill="1" applyBorder="1" applyAlignment="1">
      <x:alignment wrapText="1"/>
    </x:xf>
    <x:xf numFmtId="0" fontId="8" fillId="11" borderId="10" xfId="0" applyNumberFormat="1" applyFont="1" applyFill="1" applyBorder="1" applyAlignment="1">
      <x:alignment wrapText="1"/>
    </x:xf>
    <x:xf numFmtId="0" fontId="8" fillId="11" borderId="7" xfId="0" applyNumberFormat="1" applyFont="1" applyFill="1" applyBorder="1" applyAlignment="1">
      <x:alignment wrapText="1"/>
    </x:xf>
    <x:xf numFmtId="0" fontId="8" fillId="11" borderId="11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wrapText="1"/>
    </x:xf>
    <x:xf numFmtId="0" fontId="8" fillId="11" borderId="12" xfId="0" applyNumberFormat="1" applyFont="1" applyFill="1" applyBorder="1" applyAlignment="1">
      <x:alignment wrapText="1"/>
    </x:xf>
    <x:xf numFmtId="0" fontId="8" fillId="11" borderId="4" xfId="0" applyNumberFormat="1" applyFont="1" applyFill="1" applyBorder="1" applyAlignment="1">
      <x:alignment wrapText="1"/>
    </x:xf>
    <x:xf numFmtId="0" fontId="8" fillId="11" borderId="13" xfId="0" applyNumberFormat="1" applyFont="1" applyFill="1" applyBorder="1" applyAlignment="1">
      <x:alignment wrapText="1"/>
    </x:xf>
    <x:xf numFmtId="0" fontId="8" fillId="11" borderId="2" xfId="0" applyNumberFormat="1" applyFont="1" applyFill="1" applyBorder="1" applyAlignment="1">
      <x:alignment wrapText="1"/>
    </x:xf>
    <x:xf numFmtId="0" fontId="8" fillId="11" borderId="9" xfId="0" applyNumberFormat="1" applyFont="1" applyFill="1" applyBorder="1" applyAlignment="1">
      <x:alignment vertical="top" wrapText="1"/>
    </x:xf>
    <x:xf numFmtId="0" fontId="8" fillId="11" borderId="10" xfId="0" applyNumberFormat="1" applyFont="1" applyFill="1" applyBorder="1" applyAlignment="1">
      <x:alignment vertical="top" wrapText="1"/>
    </x:xf>
    <x:xf numFmtId="0" fontId="8" fillId="11" borderId="7" xfId="0" applyNumberFormat="1" applyFont="1" applyFill="1" applyBorder="1" applyAlignment="1">
      <x:alignment vertical="top" wrapText="1"/>
    </x:xf>
    <x:xf numFmtId="0" fontId="8" fillId="11" borderId="11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8" fillId="11" borderId="12" xfId="0" applyNumberFormat="1" applyFont="1" applyFill="1" applyBorder="1" applyAlignment="1">
      <x:alignment vertical="top" wrapText="1"/>
    </x:xf>
    <x:xf numFmtId="0" fontId="8" fillId="11" borderId="4" xfId="0" applyNumberFormat="1" applyFont="1" applyFill="1" applyBorder="1" applyAlignment="1">
      <x:alignment vertical="top" wrapText="1"/>
    </x:xf>
    <x:xf numFmtId="0" fontId="8" fillId="11" borderId="13" xfId="0" applyNumberFormat="1" applyFont="1" applyFill="1" applyBorder="1" applyAlignment="1">
      <x:alignment vertical="top" wrapText="1"/>
    </x:xf>
    <x:xf numFmtId="0" fontId="8" fillId="11" borderId="2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/>
    <x:xf numFmtId="0" fontId="3" fillId="7" borderId="6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 applyAlignment="1">
      <x:alignment horizontal="center"/>
    </x:xf>
    <x:xf numFmtId="0" fontId="3" fillId="7" borderId="5" xfId="0" applyNumberFormat="1" applyFont="1" applyFill="1" applyBorder="1" applyAlignment="1">
      <x:alignment horizontal="center"/>
    </x:xf>
    <x:xf numFmtId="0" fontId="3" fillId="7" borderId="6" xfId="0" applyNumberFormat="1" applyFont="1" applyFill="1" applyBorder="1" applyAlignment="1">
      <x:alignment horizontal="center" vertical="center"/>
    </x:xf>
    <x:xf numFmtId="0" fontId="3" fillId="7" borderId="5" xfId="0" applyNumberFormat="1" applyFont="1" applyFill="1" applyBorder="1" applyAlignment="1">
      <x:alignment horizontal="center" vertical="center"/>
    </x:xf>
    <x:xf numFmtId="0" fontId="3" fillId="7" borderId="14" xfId="0" applyNumberFormat="1" applyFont="1" applyFill="1" applyBorder="1"/>
    <x:xf numFmtId="0" fontId="3" fillId="7" borderId="14" xfId="0" applyNumberFormat="1" applyFont="1" applyFill="1" applyBorder="1" applyAlignment="1">
      <x:alignment horizontal="center"/>
    </x:xf>
    <x:xf numFmtId="0" fontId="3" fillId="7" borderId="14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1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horizont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200" fontId="11" fillId="5" borderId="1" xfId="0" applyNumberFormat="1" applyFont="1" applyFill="1" applyBorder="1" applyAlignment="1">
      <x:alignment horizontal="center" vertical="center" wrapText="1"/>
    </x:xf>
    <x:xf numFmtId="201" fontId="11" fillId="5" borderId="1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1" xfId="0" applyNumberFormat="1" applyFont="1" applyFill="1" applyBorder="1"/>
    <x:xf numFmtId="0" fontId="1" fillId="15" borderId="1" xfId="0" applyNumberFormat="1" applyFont="1" applyFill="1" applyBorder="1" applyAlignment="1">
      <x:alignment wrapText="1"/>
    </x:xf>
    <x:xf numFmtId="0" fontId="1" fillId="15" borderId="1" xfId="0" applyNumberFormat="1" applyFont="1" applyFill="1" applyBorder="1" applyAlignment="1">
      <x:alignment horizontal="center" wrapText="1"/>
    </x:xf>
    <x:xf numFmtId="0" fontId="1" fillId="15" borderId="1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2" xfId="0" applyNumberFormat="1" applyFont="1" applyFill="1" applyBorder="1"/>
    <x:xf numFmtId="0" fontId="11" fillId="0" borderId="3" xfId="0" applyNumberFormat="1" applyFont="1" applyFill="1" applyBorder="1"/>
    <x:xf numFmtId="0" fontId="11" fillId="0" borderId="4" xfId="0" applyNumberFormat="1" applyFont="1" applyFill="1" applyBorder="1"/>
    <x:xf numFmtId="0" fontId="11" fillId="0" borderId="5" xfId="0" applyNumberFormat="1" applyFont="1" applyFill="1" applyBorder="1"/>
    <x:xf numFmtId="0" fontId="11" fillId="0" borderId="1" xfId="0" applyNumberFormat="1" applyFont="1" applyFill="1" applyBorder="1"/>
    <x:xf numFmtId="0" fontId="11" fillId="0" borderId="6" xfId="0" applyNumberFormat="1" applyFont="1" applyFill="1" applyBorder="1"/>
    <x:xf numFmtId="0" fontId="11" fillId="0" borderId="7" xfId="0" applyNumberFormat="1" applyFont="1" applyFill="1" applyBorder="1"/>
    <x:xf numFmtId="0" fontId="11" fillId="0" borderId="8" xfId="0" applyNumberFormat="1" applyFont="1" applyFill="1" applyBorder="1"/>
    <x:xf numFmtId="0" fontId="11" fillId="0" borderId="9" xfId="0" applyNumberFormat="1" applyFont="1" applyFill="1" applyBorder="1"/>
    <x:xf numFmtId="0" fontId="11" fillId="0" borderId="2" xfId="0" applyNumberFormat="1" applyFont="1" applyFill="1" applyBorder="1" applyAlignment="1">
      <x:alignment wrapText="1"/>
    </x:xf>
    <x:xf numFmtId="0" fontId="11" fillId="0" borderId="3" xfId="0" applyNumberFormat="1" applyFont="1" applyFill="1" applyBorder="1" applyAlignment="1">
      <x:alignment wrapText="1"/>
    </x:xf>
    <x:xf numFmtId="0" fontId="11" fillId="0" borderId="4" xfId="0" applyNumberFormat="1" applyFont="1" applyFill="1" applyBorder="1" applyAlignment="1">
      <x:alignment wrapText="1"/>
    </x:xf>
    <x:xf numFmtId="0" fontId="11" fillId="0" borderId="5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1" fillId="0" borderId="6" xfId="0" applyNumberFormat="1" applyFont="1" applyFill="1" applyBorder="1" applyAlignment="1">
      <x:alignment wrapText="1"/>
    </x:xf>
    <x:xf numFmtId="0" fontId="11" fillId="0" borderId="7" xfId="0" applyNumberFormat="1" applyFont="1" applyFill="1" applyBorder="1" applyAlignment="1">
      <x:alignment wrapText="1"/>
    </x:xf>
    <x:xf numFmtId="0" fontId="11" fillId="0" borderId="8" xfId="0" applyNumberFormat="1" applyFont="1" applyFill="1" applyBorder="1" applyAlignment="1">
      <x:alignment wrapText="1"/>
    </x:xf>
    <x:xf numFmtId="0" fontId="11" fillId="0" borderId="9" xfId="0" applyNumberFormat="1" applyFont="1" applyFill="1" applyBorder="1" applyAlignment="1">
      <x:alignment wrapText="1"/>
    </x:xf>
    <x:xf numFmtId="0" fontId="11" fillId="0" borderId="2" xfId="0" applyNumberFormat="1" applyFont="1" applyFill="1" applyBorder="1" applyAlignment="1">
      <x:alignment vertical="center" wrapText="1"/>
    </x:xf>
    <x:xf numFmtId="0" fontId="11" fillId="0" borderId="3" xfId="0" applyNumberFormat="1" applyFont="1" applyFill="1" applyBorder="1" applyAlignment="1">
      <x:alignment vertical="center" wrapText="1"/>
    </x:xf>
    <x:xf numFmtId="0" fontId="11" fillId="0" borderId="4" xfId="0" applyNumberFormat="1" applyFont="1" applyFill="1" applyBorder="1" applyAlignment="1">
      <x:alignment vertical="center" wrapText="1"/>
    </x:xf>
    <x:xf numFmtId="0" fontId="11" fillId="0" borderId="5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6" xfId="0" applyNumberFormat="1" applyFont="1" applyFill="1" applyBorder="1" applyAlignment="1">
      <x:alignment vertical="center" wrapText="1"/>
    </x:xf>
    <x:xf numFmtId="0" fontId="11" fillId="0" borderId="7" xfId="0" applyNumberFormat="1" applyFont="1" applyFill="1" applyBorder="1" applyAlignment="1">
      <x:alignment vertical="center" wrapText="1"/>
    </x:xf>
    <x:xf numFmtId="0" fontId="11" fillId="0" borderId="8" xfId="0" applyNumberFormat="1" applyFont="1" applyFill="1" applyBorder="1" applyAlignment="1">
      <x:alignment vertical="center" wrapText="1"/>
    </x:xf>
    <x:xf numFmtId="0" fontId="11" fillId="0" borderId="9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left" vertical="center" wrapText="1"/>
    </x:xf>
    <x:xf numFmtId="0" fontId="11" fillId="0" borderId="3" xfId="0" applyNumberFormat="1" applyFont="1" applyFill="1" applyBorder="1" applyAlignment="1">
      <x:alignment horizontal="left" vertical="center" wrapText="1"/>
    </x:xf>
    <x:xf numFmtId="0" fontId="3" fillId="0" borderId="5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left" vertical="center" wrapText="1"/>
    </x:xf>
    <x:xf numFmtId="0" fontId="3" fillId="0" borderId="7" xfId="0" applyNumberFormat="1" applyFont="1" applyFill="1" applyBorder="1" applyAlignment="1">
      <x:alignment horizontal="left" vertical="center" wrapText="1"/>
    </x:xf>
    <x:xf numFmtId="0" fontId="11" fillId="0" borderId="8" xfId="0" applyNumberFormat="1" applyFont="1" applyFill="1" applyBorder="1" applyAlignment="1">
      <x:alignment horizontal="left" vertical="center" wrapText="1"/>
    </x:xf>
    <x:xf numFmtId="0" fontId="11" fillId="0" borderId="3" xfId="0" applyNumberFormat="1" applyFont="1" applyFill="1" applyBorder="1" applyAlignment="1">
      <x:alignment horizontal="center" vertical="center" wrapText="1"/>
    </x:xf>
    <x:xf numFmtId="0" fontId="11" fillId="0" borderId="4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11" fillId="0" borderId="6" xfId="0" applyNumberFormat="1" applyFont="1" applyFill="1" applyBorder="1" applyAlignment="1">
      <x:alignment horizontal="center" vertical="center" wrapText="1"/>
    </x:xf>
    <x:xf numFmtId="0" fontId="11" fillId="0" borderId="8" xfId="0" applyNumberFormat="1" applyFont="1" applyFill="1" applyBorder="1" applyAlignment="1">
      <x:alignment horizontal="center" vertical="center" wrapText="1"/>
    </x:xf>
    <x:xf numFmtId="0" fontId="11" fillId="0" borderId="9" xfId="0" applyNumberFormat="1" applyFont="1" applyFill="1" applyBorder="1" applyAlignment="1">
      <x:alignment horizontal="center" vertical="center" wrapText="1"/>
    </x:xf>
    <x:xf numFmtId="200" fontId="11" fillId="0" borderId="3" xfId="0" applyNumberFormat="1" applyFont="1" applyFill="1" applyBorder="1" applyAlignment="1">
      <x:alignment horizontal="center" vertical="center" wrapText="1"/>
    </x:xf>
    <x:xf numFmtId="200" fontId="11" fillId="0" borderId="1" xfId="0" applyNumberFormat="1" applyFont="1" applyFill="1" applyBorder="1" applyAlignment="1">
      <x:alignment horizontal="center" vertical="center" wrapText="1"/>
    </x:xf>
    <x:xf numFmtId="200" fontId="11" fillId="0" borderId="8" xfId="0" applyNumberFormat="1" applyFont="1" applyFill="1" applyBorder="1" applyAlignment="1">
      <x:alignment horizontal="center" vertical="center" wrapText="1"/>
    </x:xf>
    <x:xf numFmtId="201" fontId="11" fillId="0" borderId="3" xfId="0" applyNumberFormat="1" applyFont="1" applyFill="1" applyBorder="1" applyAlignment="1">
      <x:alignment horizontal="center" vertical="center" wrapText="1"/>
    </x:xf>
    <x:xf numFmtId="201" fontId="11" fillId="0" borderId="1" xfId="0" applyNumberFormat="1" applyFont="1" applyFill="1" applyBorder="1" applyAlignment="1">
      <x:alignment horizontal="center" vertical="center" wrapText="1"/>
    </x:xf>
    <x:xf numFmtId="201" fontId="11" fillId="0" borderId="8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horizontal="center"/>
    </x:xf>
    <x:xf numFmtId="0" fontId="1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1" xfId="0" applyNumberFormat="1" applyFont="1" applyFill="1" applyBorder="1"/>
    <x:xf numFmtId="0" fontId="1" fillId="18" borderId="1" xfId="0" applyNumberFormat="1" applyFont="1" applyFill="1" applyBorder="1" applyAlignment="1">
      <x:alignment wrapText="1"/>
    </x:xf>
    <x:xf numFmtId="0" fontId="1" fillId="18" borderId="1" xfId="0" applyNumberFormat="1" applyFont="1" applyFill="1" applyBorder="1" applyAlignment="1">
      <x:alignment horizontal="center" wrapText="1"/>
    </x:xf>
    <x:xf numFmtId="0" fontId="1" fillId="18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19" borderId="3" xfId="0" applyNumberFormat="1" applyFont="1" applyFill="1" applyBorder="1"/>
    <x:xf numFmtId="0" fontId="0" fillId="19" borderId="4" xfId="0" applyNumberFormat="1" applyFont="1" applyFill="1" applyBorder="1"/>
    <x:xf numFmtId="0" fontId="0" fillId="19" borderId="1" xfId="0" applyNumberFormat="1" applyFont="1" applyFill="1" applyBorder="1"/>
    <x:xf numFmtId="0" fontId="0" fillId="19" borderId="6" xfId="0" applyNumberFormat="1" applyFont="1" applyFill="1" applyBorder="1"/>
    <x:xf numFmtId="0" fontId="0" fillId="19" borderId="8" xfId="0" applyNumberFormat="1" applyFont="1" applyFill="1" applyBorder="1"/>
    <x:xf numFmtId="0" fontId="0" fillId="19" borderId="9" xfId="0" applyNumberFormat="1" applyFont="1" applyFill="1" applyBorder="1"/>
    <x:xf numFmtId="200" fontId="0" fillId="19" borderId="3" xfId="0" applyNumberFormat="1" applyFont="1" applyFill="1" applyBorder="1"/>
    <x:xf numFmtId="200" fontId="0" fillId="19" borderId="4" xfId="0" applyNumberFormat="1" applyFont="1" applyFill="1" applyBorder="1"/>
    <x:xf numFmtId="200" fontId="0" fillId="19" borderId="1" xfId="0" applyNumberFormat="1" applyFont="1" applyFill="1" applyBorder="1"/>
    <x:xf numFmtId="200" fontId="0" fillId="19" borderId="6" xfId="0" applyNumberFormat="1" applyFont="1" applyFill="1" applyBorder="1"/>
    <x:xf numFmtId="200" fontId="0" fillId="19" borderId="8" xfId="0" applyNumberFormat="1" applyFont="1" applyFill="1" applyBorder="1"/>
    <x:xf numFmtId="200" fontId="0" fillId="19" borderId="9" xfId="0" applyNumberFormat="1" applyFont="1" applyFill="1" applyBorder="1"/>
    <x:xf numFmtId="200" fontId="0" fillId="19" borderId="3" xfId="0" applyNumberFormat="1" applyFont="1" applyFill="1" applyBorder="1" applyAlignment="1">
      <x:alignment horizontal="center"/>
    </x:xf>
    <x:xf numFmtId="200" fontId="0" fillId="19" borderId="4" xfId="0" applyNumberFormat="1" applyFont="1" applyFill="1" applyBorder="1" applyAlignment="1">
      <x:alignment horizontal="center"/>
    </x:xf>
    <x:xf numFmtId="200" fontId="0" fillId="19" borderId="1" xfId="0" applyNumberFormat="1" applyFont="1" applyFill="1" applyBorder="1" applyAlignment="1">
      <x:alignment horizontal="center"/>
    </x:xf>
    <x:xf numFmtId="200" fontId="0" fillId="19" borderId="6" xfId="0" applyNumberFormat="1" applyFont="1" applyFill="1" applyBorder="1" applyAlignment="1">
      <x:alignment horizontal="center"/>
    </x:xf>
    <x:xf numFmtId="200" fontId="0" fillId="19" borderId="8" xfId="0" applyNumberFormat="1" applyFont="1" applyFill="1" applyBorder="1" applyAlignment="1">
      <x:alignment horizontal="center"/>
    </x:xf>
    <x:xf numFmtId="200" fontId="0" fillId="19" borderId="9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0" fillId="21" borderId="1" xfId="0" applyNumberFormat="1" applyFont="1" applyFill="1" applyBorder="1"/>
    <x:xf numFmtId="0" fontId="0" fillId="21" borderId="1" xfId="0" applyNumberFormat="1" applyFont="1" applyFill="1" applyBorder="1" applyAlignment="1">
      <x:alignment horizontal="center"/>
    </x:xf>
    <x:xf numFmtId="201" fontId="0" fillId="21" borderId="1" xfId="0" applyNumberFormat="1" applyFont="1" applyFill="1" applyBorder="1" applyAlignment="1">
      <x:alignment horizontal="center"/>
    </x:xf>
    <x:xf numFmtId="202" fontId="0" fillId="21" borderId="1" xfId="0" applyNumberFormat="1" applyFont="1" applyFill="1" applyBorder="1" applyAlignment="1">
      <x:alignment horizontal="center"/>
    </x:xf>
    <x:xf numFmtId="0" fontId="3" fillId="20" borderId="1" xfId="0" applyNumberFormat="1" applyFont="1" applyFill="1" applyBorder="1" applyAlignment="1">
      <x:alignment wrapText="1"/>
    </x:xf>
    <x:xf numFmtId="0" fontId="0" fillId="22" borderId="1" xfId="0" applyNumberFormat="1" applyFont="1" applyFill="1" applyBorder="1"/>
    <x:xf numFmtId="0" fontId="4" fillId="22" borderId="1" xfId="0" applyNumberFormat="1" applyFont="1" applyFill="1" applyBorder="1"/>
    <x:xf numFmtId="0" fontId="4" fillId="22" borderId="1" xfId="0" applyNumberFormat="1" applyFont="1" applyFill="1" applyBorder="1" applyAlignment="1">
      <x:alignment horizontal="center"/>
    </x:xf>
    <x:xf numFmtId="0" fontId="0" fillId="23" borderId="1" xfId="0" applyNumberFormat="1" applyFont="1" applyFill="1" applyBorder="1"/>
    <x:xf numFmtId="0" fontId="5" fillId="23" borderId="1" xfId="0" applyNumberFormat="1" applyFont="1" applyFill="1" applyBorder="1"/>
    <x:xf numFmtId="0" fontId="5" fillId="23" borderId="1" xfId="0" applyNumberFormat="1" applyFont="1" applyFill="1" applyBorder="1" applyAlignment="1">
      <x:alignment horizontal="center"/>
    </x:xf>
    <x:xf numFmtId="0" fontId="0" fillId="24" borderId="1" xfId="0" applyNumberFormat="1" applyFont="1" applyFill="1" applyBorder="1"/>
    <x:xf numFmtId="0" fontId="6" fillId="24" borderId="1" xfId="0" applyNumberFormat="1" applyFont="1" applyFill="1" applyBorder="1"/>
    <x:xf numFmtId="0" fontId="6" fillId="24" borderId="1" xfId="0" applyNumberFormat="1" applyFont="1" applyFill="1" applyBorder="1" applyAlignment="1">
      <x:alignment horizontal="center"/>
    </x:xf>
    <x:xf numFmtId="0" fontId="7" fillId="19" borderId="1" xfId="0" applyNumberFormat="1" applyFont="1" applyFill="1" applyBorder="1"/>
    <x:xf numFmtId="0" fontId="7" fillId="19" borderId="1" xfId="0" applyNumberFormat="1" applyFont="1" applyFill="1" applyBorder="1" applyAlignment="1">
      <x:alignment horizontal="center"/>
    </x:xf>
    <x:xf numFmtId="0" fontId="1" fillId="18" borderId="0" xfId="0" applyNumberFormat="1" applyFont="1" applyFill="1" applyBorder="1" applyAlignment="1">
      <x:alignment horizontal="center"/>
    </x:xf>
    <x:xf numFmtId="0" fontId="0" fillId="25" borderId="0" xfId="0" applyNumberFormat="1" applyFont="1" applyFill="1" applyBorder="1"/>
    <x:xf numFmtId="0" fontId="8" fillId="25" borderId="0" xfId="0" applyNumberFormat="1" applyFont="1" applyFill="1" applyBorder="1"/>
    <x:xf numFmtId="0" fontId="8" fillId="25" borderId="9" xfId="0" applyNumberFormat="1" applyFont="1" applyFill="1" applyBorder="1"/>
    <x:xf numFmtId="0" fontId="8" fillId="25" borderId="10" xfId="0" applyNumberFormat="1" applyFont="1" applyFill="1" applyBorder="1"/>
    <x:xf numFmtId="0" fontId="8" fillId="25" borderId="7" xfId="0" applyNumberFormat="1" applyFont="1" applyFill="1" applyBorder="1"/>
    <x:xf numFmtId="0" fontId="8" fillId="25" borderId="11" xfId="0" applyNumberFormat="1" applyFont="1" applyFill="1" applyBorder="1"/>
    <x:xf numFmtId="0" fontId="8" fillId="25" xfId="0" applyNumberFormat="1" applyFont="1" applyFill="1" applyBorder="0"/>
    <x:xf numFmtId="0" fontId="8" fillId="25" borderId="12" xfId="0" applyNumberFormat="1" applyFont="1" applyFill="1" applyBorder="1"/>
    <x:xf numFmtId="0" fontId="8" fillId="25" borderId="4" xfId="0" applyNumberFormat="1" applyFont="1" applyFill="1" applyBorder="1"/>
    <x:xf numFmtId="0" fontId="8" fillId="25" borderId="13" xfId="0" applyNumberFormat="1" applyFont="1" applyFill="1" applyBorder="1"/>
    <x:xf numFmtId="0" fontId="8" fillId="25" borderId="2" xfId="0" applyNumberFormat="1" applyFont="1" applyFill="1" applyBorder="1"/>
    <x:xf numFmtId="0" fontId="8" fillId="25" borderId="9" xfId="0" applyNumberFormat="1" applyFont="1" applyFill="1" applyBorder="1" applyAlignment="1">
      <x:alignment wrapText="1"/>
    </x:xf>
    <x:xf numFmtId="0" fontId="8" fillId="25" borderId="10" xfId="0" applyNumberFormat="1" applyFont="1" applyFill="1" applyBorder="1" applyAlignment="1">
      <x:alignment wrapText="1"/>
    </x:xf>
    <x:xf numFmtId="0" fontId="8" fillId="25" borderId="7" xfId="0" applyNumberFormat="1" applyFont="1" applyFill="1" applyBorder="1" applyAlignment="1">
      <x:alignment wrapText="1"/>
    </x:xf>
    <x:xf numFmtId="0" fontId="8" fillId="25" borderId="11" xfId="0" applyNumberFormat="1" applyFont="1" applyFill="1" applyBorder="1" applyAlignment="1">
      <x:alignment wrapText="1"/>
    </x:xf>
    <x:xf numFmtId="0" fontId="8" fillId="25" xfId="0" applyNumberFormat="1" applyFont="1" applyFill="1" applyBorder="0" applyAlignment="1">
      <x:alignment wrapText="1"/>
    </x:xf>
    <x:xf numFmtId="0" fontId="8" fillId="25" borderId="12" xfId="0" applyNumberFormat="1" applyFont="1" applyFill="1" applyBorder="1" applyAlignment="1">
      <x:alignment wrapText="1"/>
    </x:xf>
    <x:xf numFmtId="0" fontId="8" fillId="25" borderId="4" xfId="0" applyNumberFormat="1" applyFont="1" applyFill="1" applyBorder="1" applyAlignment="1">
      <x:alignment wrapText="1"/>
    </x:xf>
    <x:xf numFmtId="0" fontId="8" fillId="25" borderId="13" xfId="0" applyNumberFormat="1" applyFont="1" applyFill="1" applyBorder="1" applyAlignment="1">
      <x:alignment wrapText="1"/>
    </x:xf>
    <x:xf numFmtId="0" fontId="8" fillId="25" borderId="2" xfId="0" applyNumberFormat="1" applyFont="1" applyFill="1" applyBorder="1" applyAlignment="1">
      <x:alignment wrapText="1"/>
    </x:xf>
    <x:xf numFmtId="0" fontId="8" fillId="25" borderId="9" xfId="0" applyNumberFormat="1" applyFont="1" applyFill="1" applyBorder="1" applyAlignment="1">
      <x:alignment vertical="top" wrapText="1"/>
    </x:xf>
    <x:xf numFmtId="0" fontId="8" fillId="25" borderId="10" xfId="0" applyNumberFormat="1" applyFont="1" applyFill="1" applyBorder="1" applyAlignment="1">
      <x:alignment vertical="top" wrapText="1"/>
    </x:xf>
    <x:xf numFmtId="0" fontId="8" fillId="25" borderId="7" xfId="0" applyNumberFormat="1" applyFont="1" applyFill="1" applyBorder="1" applyAlignment="1">
      <x:alignment vertical="top" wrapText="1"/>
    </x:xf>
    <x:xf numFmtId="0" fontId="8" fillId="25" borderId="11" xfId="0" applyNumberFormat="1" applyFont="1" applyFill="1" applyBorder="1" applyAlignment="1">
      <x:alignment vertical="top" wrapText="1"/>
    </x:xf>
    <x:xf numFmtId="0" fontId="8" fillId="25" xfId="0" applyNumberFormat="1" applyFont="1" applyFill="1" applyBorder="0" applyAlignment="1">
      <x:alignment vertical="top" wrapText="1"/>
    </x:xf>
    <x:xf numFmtId="0" fontId="8" fillId="25" borderId="12" xfId="0" applyNumberFormat="1" applyFont="1" applyFill="1" applyBorder="1" applyAlignment="1">
      <x:alignment vertical="top" wrapText="1"/>
    </x:xf>
    <x:xf numFmtId="0" fontId="8" fillId="25" borderId="4" xfId="0" applyNumberFormat="1" applyFont="1" applyFill="1" applyBorder="1" applyAlignment="1">
      <x:alignment vertical="top" wrapText="1"/>
    </x:xf>
    <x:xf numFmtId="0" fontId="8" fillId="25" borderId="13" xfId="0" applyNumberFormat="1" applyFont="1" applyFill="1" applyBorder="1" applyAlignment="1">
      <x:alignment vertical="top" wrapText="1"/>
    </x:xf>
    <x:xf numFmtId="0" fontId="8" fillId="25" borderId="2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9" fillId="26" borderId="0" xfId="0" applyNumberFormat="1" applyFont="1" applyFill="1" applyBorder="1"/>
    <x:xf numFmtId="0" fontId="9" fillId="26" borderId="0" xfId="0" applyNumberFormat="1" applyFont="1" applyFill="1" applyBorder="1" applyAlignment="1">
      <x:alignment wrapText="1"/>
    </x:xf>
    <x:xf numFmtId="0" fontId="9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horizontal="center"/>
    </x:xf>
    <x:xf numFmtId="0" fontId="1" fillId="27" borderId="0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borderId="0" xfId="0" applyNumberFormat="1" applyFont="1" applyFill="1" applyBorder="1" applyAlignment="1">
      <x:alignment wrapText="1"/>
    </x:xf>
    <x:xf numFmtId="0" fontId="2" fillId="28" borderId="0" xfId="0" applyNumberFormat="1" applyFont="1" applyFill="1" applyBorder="1" applyAlignment="1">
      <x:alignment horizontal="center" wrapText="1"/>
    </x:xf>
    <x:xf numFmtId="0" fontId="2" fillId="28" borderId="0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1" fillId="29" borderId="1" xfId="0" applyNumberFormat="1" applyFont="1" applyFill="1" applyBorder="1"/>
    <x:xf numFmtId="0" fontId="1" fillId="29" borderId="1" xfId="0" applyNumberFormat="1" applyFont="1" applyFill="1" applyBorder="1" applyAlignment="1">
      <x:alignment wrapText="1"/>
    </x:xf>
    <x:xf numFmtId="0" fontId="1" fillId="29" borderId="1" xfId="0" applyNumberFormat="1" applyFont="1" applyFill="1" applyBorder="1" applyAlignment="1">
      <x:alignment horizontal="center" wrapText="1"/>
    </x:xf>
    <x:xf numFmtId="0" fontId="1" fillId="29" borderId="1" xfId="0" applyNumberFormat="1" applyFont="1" applyFill="1" applyBorder="1" applyAlignment="1">
      <x:alignment horizontal="center" vertical="center" wrapText="1"/>
    </x:xf>
    <x:xf numFmtId="0" fontId="0" fillId="30" borderId="3" xfId="0" applyNumberFormat="1" applyFont="1" applyFill="1" applyBorder="1"/>
    <x:xf numFmtId="0" fontId="0" fillId="30" borderId="4" xfId="0" applyNumberFormat="1" applyFont="1" applyFill="1" applyBorder="1"/>
    <x:xf numFmtId="0" fontId="0" fillId="30" borderId="1" xfId="0" applyNumberFormat="1" applyFont="1" applyFill="1" applyBorder="1"/>
    <x:xf numFmtId="0" fontId="0" fillId="30" borderId="6" xfId="0" applyNumberFormat="1" applyFont="1" applyFill="1" applyBorder="1"/>
    <x:xf numFmtId="0" fontId="0" fillId="30" borderId="8" xfId="0" applyNumberFormat="1" applyFont="1" applyFill="1" applyBorder="1"/>
    <x:xf numFmtId="0" fontId="0" fillId="30" borderId="9" xfId="0" applyNumberFormat="1" applyFont="1" applyFill="1" applyBorder="1"/>
    <x:xf numFmtId="200" fontId="0" fillId="30" borderId="3" xfId="0" applyNumberFormat="1" applyFont="1" applyFill="1" applyBorder="1"/>
    <x:xf numFmtId="200" fontId="0" fillId="30" borderId="4" xfId="0" applyNumberFormat="1" applyFont="1" applyFill="1" applyBorder="1"/>
    <x:xf numFmtId="200" fontId="0" fillId="30" borderId="1" xfId="0" applyNumberFormat="1" applyFont="1" applyFill="1" applyBorder="1"/>
    <x:xf numFmtId="200" fontId="0" fillId="30" borderId="6" xfId="0" applyNumberFormat="1" applyFont="1" applyFill="1" applyBorder="1"/>
    <x:xf numFmtId="200" fontId="0" fillId="30" borderId="8" xfId="0" applyNumberFormat="1" applyFont="1" applyFill="1" applyBorder="1"/>
    <x:xf numFmtId="200" fontId="0" fillId="30" borderId="9" xfId="0" applyNumberFormat="1" applyFont="1" applyFill="1" applyBorder="1"/>
    <x:xf numFmtId="200" fontId="0" fillId="30" borderId="3" xfId="0" applyNumberFormat="1" applyFont="1" applyFill="1" applyBorder="1" applyAlignment="1">
      <x:alignment horizontal="center"/>
    </x:xf>
    <x:xf numFmtId="200" fontId="0" fillId="30" borderId="4" xfId="0" applyNumberFormat="1" applyFont="1" applyFill="1" applyBorder="1" applyAlignment="1">
      <x:alignment horizontal="center"/>
    </x:xf>
    <x:xf numFmtId="200" fontId="0" fillId="30" borderId="1" xfId="0" applyNumberFormat="1" applyFont="1" applyFill="1" applyBorder="1" applyAlignment="1">
      <x:alignment horizontal="center"/>
    </x:xf>
    <x:xf numFmtId="200" fontId="0" fillId="30" borderId="6" xfId="0" applyNumberFormat="1" applyFont="1" applyFill="1" applyBorder="1" applyAlignment="1">
      <x:alignment horizontal="center"/>
    </x:xf>
    <x:xf numFmtId="200" fontId="0" fillId="30" borderId="8" xfId="0" applyNumberFormat="1" applyFont="1" applyFill="1" applyBorder="1" applyAlignment="1">
      <x:alignment horizontal="center"/>
    </x:xf>
    <x:xf numFmtId="200" fontId="0" fillId="30" borderId="9" xfId="0" applyNumberFormat="1" applyFont="1" applyFill="1" applyBorder="1" applyAlignment="1">
      <x:alignment horizontal="center"/>
    </x:xf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0" fillId="32" borderId="1" xfId="0" applyNumberFormat="1" applyFont="1" applyFill="1" applyBorder="1"/>
    <x:xf numFmtId="0" fontId="0" fillId="32" borderId="1" xfId="0" applyNumberFormat="1" applyFont="1" applyFill="1" applyBorder="1" applyAlignment="1">
      <x:alignment horizontal="center"/>
    </x:xf>
    <x:xf numFmtId="201" fontId="0" fillId="32" borderId="1" xfId="0" applyNumberFormat="1" applyFont="1" applyFill="1" applyBorder="1" applyAlignment="1">
      <x:alignment horizontal="center"/>
    </x:xf>
    <x:xf numFmtId="202" fontId="0" fillId="32" borderId="1" xfId="0" applyNumberFormat="1" applyFont="1" applyFill="1" applyBorder="1" applyAlignment="1">
      <x:alignment horizontal="center"/>
    </x:xf>
    <x:xf numFmtId="0" fontId="3" fillId="31" borderId="1" xfId="0" applyNumberFormat="1" applyFont="1" applyFill="1" applyBorder="1" applyAlignment="1">
      <x:alignment wrapText="1"/>
    </x:xf>
    <x:xf numFmtId="0" fontId="0" fillId="33" borderId="1" xfId="0" applyNumberFormat="1" applyFont="1" applyFill="1" applyBorder="1"/>
    <x:xf numFmtId="0" fontId="4" fillId="33" borderId="1" xfId="0" applyNumberFormat="1" applyFont="1" applyFill="1" applyBorder="1"/>
    <x:xf numFmtId="0" fontId="4" fillId="33" borderId="1" xfId="0" applyNumberFormat="1" applyFont="1" applyFill="1" applyBorder="1" applyAlignment="1">
      <x:alignment horizontal="center"/>
    </x:xf>
    <x:xf numFmtId="0" fontId="0" fillId="34" borderId="1" xfId="0" applyNumberFormat="1" applyFont="1" applyFill="1" applyBorder="1"/>
    <x:xf numFmtId="0" fontId="5" fillId="34" borderId="1" xfId="0" applyNumberFormat="1" applyFont="1" applyFill="1" applyBorder="1"/>
    <x:xf numFmtId="0" fontId="5" fillId="34" borderId="1" xfId="0" applyNumberFormat="1" applyFont="1" applyFill="1" applyBorder="1" applyAlignment="1">
      <x:alignment horizontal="center"/>
    </x:xf>
    <x:xf numFmtId="0" fontId="0" fillId="35" borderId="1" xfId="0" applyNumberFormat="1" applyFont="1" applyFill="1" applyBorder="1"/>
    <x:xf numFmtId="0" fontId="6" fillId="35" borderId="1" xfId="0" applyNumberFormat="1" applyFont="1" applyFill="1" applyBorder="1"/>
    <x:xf numFmtId="0" fontId="6" fillId="35" borderId="1" xfId="0" applyNumberFormat="1" applyFont="1" applyFill="1" applyBorder="1" applyAlignment="1">
      <x:alignment horizontal="center"/>
    </x:xf>
    <x:xf numFmtId="0" fontId="7" fillId="30" borderId="1" xfId="0" applyNumberFormat="1" applyFont="1" applyFill="1" applyBorder="1"/>
    <x:xf numFmtId="0" fontId="7" fillId="30" borderId="1" xfId="0" applyNumberFormat="1" applyFont="1" applyFill="1" applyBorder="1" applyAlignment="1">
      <x:alignment horizontal="center"/>
    </x:xf>
    <x:xf numFmtId="0" fontId="1" fillId="29" borderId="0" xfId="0" applyNumberFormat="1" applyFont="1" applyFill="1" applyBorder="1" applyAlignment="1">
      <x:alignment horizontal="center"/>
    </x:xf>
    <x:xf numFmtId="0" fontId="0" fillId="36" borderId="0" xfId="0" applyNumberFormat="1" applyFont="1" applyFill="1" applyBorder="1"/>
    <x:xf numFmtId="0" fontId="8" fillId="36" borderId="0" xfId="0" applyNumberFormat="1" applyFont="1" applyFill="1" applyBorder="1"/>
    <x:xf numFmtId="0" fontId="8" fillId="36" borderId="9" xfId="0" applyNumberFormat="1" applyFont="1" applyFill="1" applyBorder="1"/>
    <x:xf numFmtId="0" fontId="8" fillId="36" borderId="10" xfId="0" applyNumberFormat="1" applyFont="1" applyFill="1" applyBorder="1"/>
    <x:xf numFmtId="0" fontId="8" fillId="36" borderId="7" xfId="0" applyNumberFormat="1" applyFont="1" applyFill="1" applyBorder="1"/>
    <x:xf numFmtId="0" fontId="8" fillId="36" borderId="11" xfId="0" applyNumberFormat="1" applyFont="1" applyFill="1" applyBorder="1"/>
    <x:xf numFmtId="0" fontId="8" fillId="36" xfId="0" applyNumberFormat="1" applyFont="1" applyFill="1" applyBorder="0"/>
    <x:xf numFmtId="0" fontId="8" fillId="36" borderId="12" xfId="0" applyNumberFormat="1" applyFont="1" applyFill="1" applyBorder="1"/>
    <x:xf numFmtId="0" fontId="8" fillId="36" borderId="4" xfId="0" applyNumberFormat="1" applyFont="1" applyFill="1" applyBorder="1"/>
    <x:xf numFmtId="0" fontId="8" fillId="36" borderId="13" xfId="0" applyNumberFormat="1" applyFont="1" applyFill="1" applyBorder="1"/>
    <x:xf numFmtId="0" fontId="8" fillId="36" borderId="2" xfId="0" applyNumberFormat="1" applyFont="1" applyFill="1" applyBorder="1"/>
    <x:xf numFmtId="0" fontId="8" fillId="36" borderId="9" xfId="0" applyNumberFormat="1" applyFont="1" applyFill="1" applyBorder="1" applyAlignment="1">
      <x:alignment wrapText="1"/>
    </x:xf>
    <x:xf numFmtId="0" fontId="8" fillId="36" borderId="10" xfId="0" applyNumberFormat="1" applyFont="1" applyFill="1" applyBorder="1" applyAlignment="1">
      <x:alignment wrapText="1"/>
    </x:xf>
    <x:xf numFmtId="0" fontId="8" fillId="36" borderId="7" xfId="0" applyNumberFormat="1" applyFont="1" applyFill="1" applyBorder="1" applyAlignment="1">
      <x:alignment wrapText="1"/>
    </x:xf>
    <x:xf numFmtId="0" fontId="8" fillId="36" borderId="11" xfId="0" applyNumberFormat="1" applyFont="1" applyFill="1" applyBorder="1" applyAlignment="1">
      <x:alignment wrapText="1"/>
    </x:xf>
    <x:xf numFmtId="0" fontId="8" fillId="36" xfId="0" applyNumberFormat="1" applyFont="1" applyFill="1" applyBorder="0" applyAlignment="1">
      <x:alignment wrapText="1"/>
    </x:xf>
    <x:xf numFmtId="0" fontId="8" fillId="36" borderId="12" xfId="0" applyNumberFormat="1" applyFont="1" applyFill="1" applyBorder="1" applyAlignment="1">
      <x:alignment wrapText="1"/>
    </x:xf>
    <x:xf numFmtId="0" fontId="8" fillId="36" borderId="4" xfId="0" applyNumberFormat="1" applyFont="1" applyFill="1" applyBorder="1" applyAlignment="1">
      <x:alignment wrapText="1"/>
    </x:xf>
    <x:xf numFmtId="0" fontId="8" fillId="36" borderId="13" xfId="0" applyNumberFormat="1" applyFont="1" applyFill="1" applyBorder="1" applyAlignment="1">
      <x:alignment wrapText="1"/>
    </x:xf>
    <x:xf numFmtId="0" fontId="8" fillId="36" borderId="2" xfId="0" applyNumberFormat="1" applyFont="1" applyFill="1" applyBorder="1" applyAlignment="1">
      <x:alignment wrapText="1"/>
    </x:xf>
    <x:xf numFmtId="0" fontId="8" fillId="36" borderId="9" xfId="0" applyNumberFormat="1" applyFont="1" applyFill="1" applyBorder="1" applyAlignment="1">
      <x:alignment vertical="top" wrapText="1"/>
    </x:xf>
    <x:xf numFmtId="0" fontId="8" fillId="36" borderId="10" xfId="0" applyNumberFormat="1" applyFont="1" applyFill="1" applyBorder="1" applyAlignment="1">
      <x:alignment vertical="top" wrapText="1"/>
    </x:xf>
    <x:xf numFmtId="0" fontId="8" fillId="36" borderId="7" xfId="0" applyNumberFormat="1" applyFont="1" applyFill="1" applyBorder="1" applyAlignment="1">
      <x:alignment vertical="top" wrapText="1"/>
    </x:xf>
    <x:xf numFmtId="0" fontId="8" fillId="36" borderId="11" xfId="0" applyNumberFormat="1" applyFont="1" applyFill="1" applyBorder="1" applyAlignment="1">
      <x:alignment vertical="top" wrapText="1"/>
    </x:xf>
    <x:xf numFmtId="0" fontId="8" fillId="36" xfId="0" applyNumberFormat="1" applyFont="1" applyFill="1" applyBorder="0" applyAlignment="1">
      <x:alignment vertical="top" wrapText="1"/>
    </x:xf>
    <x:xf numFmtId="0" fontId="8" fillId="36" borderId="12" xfId="0" applyNumberFormat="1" applyFont="1" applyFill="1" applyBorder="1" applyAlignment="1">
      <x:alignment vertical="top" wrapText="1"/>
    </x:xf>
    <x:xf numFmtId="0" fontId="8" fillId="36" borderId="4" xfId="0" applyNumberFormat="1" applyFont="1" applyFill="1" applyBorder="1" applyAlignment="1">
      <x:alignment vertical="top" wrapText="1"/>
    </x:xf>
    <x:xf numFmtId="0" fontId="8" fillId="36" borderId="13" xfId="0" applyNumberFormat="1" applyFont="1" applyFill="1" applyBorder="1" applyAlignment="1">
      <x:alignment vertical="top" wrapText="1"/>
    </x:xf>
    <x:xf numFmtId="0" fontId="8" fillId="36" borderId="2" xfId="0" applyNumberFormat="1" applyFont="1" applyFill="1" applyBorder="1" applyAlignment="1">
      <x:alignment vertical="top" wrapText="1"/>
    </x:xf>
    <x:xf numFmtId="0" fontId="0" fillId="37" borderId="0" xfId="0" applyNumberFormat="1" applyFont="1" applyFill="1" applyBorder="1"/>
    <x:xf numFmtId="0" fontId="9" fillId="37" borderId="0" xfId="0" applyNumberFormat="1" applyFont="1" applyFill="1" applyBorder="1"/>
    <x:xf numFmtId="0" fontId="9" fillId="37" borderId="0" xfId="0" applyNumberFormat="1" applyFont="1" applyFill="1" applyBorder="1" applyAlignment="1">
      <x:alignment wrapText="1"/>
    </x:xf>
    <x:xf numFmtId="0" fontId="9" fillId="3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7"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595959"/>
      </x:font>
      <x:fill>
        <x:patternFill>
          <x:bgColor rgb="FFFFFFFF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595959"/>
      </x:font>
      <x:fill>
        <x:patternFill>
          <x:bgColor rgb="FFFFFFFF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595959"/>
      </x:font>
      <x:fill>
        <x:patternFill>
          <x:bgColor rgb="FFFFFFFF"/>
        </x:patternFill>
      </x:fill>
    </x:dxf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595959"/>
      </x:font>
      <x:fill>
        <x:patternFill patternType="solid"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3d728860a94e42" /><Relationship Type="http://schemas.openxmlformats.org/officeDocument/2006/relationships/theme" Target="/xl/theme/theme1.xml" Id="R107307f7826945d8" /><Relationship Type="http://schemas.openxmlformats.org/officeDocument/2006/relationships/sharedStrings" Target="/xl/sharedStrings.xml" Id="Ra196c526144a4492" /><Relationship Type="http://schemas.openxmlformats.org/officeDocument/2006/relationships/worksheet" Target="/xl/worksheets/sheet1.xml" Id="R8777846610724ad1" /><Relationship Type="http://schemas.openxmlformats.org/officeDocument/2006/relationships/worksheet" Target="/xl/worksheets/sheet2.xml" Id="Rd4ed82bf6428457d" /></Relationships>
</file>

<file path=xl/tables/table1.xml><?xml version="1.0" encoding="utf-8"?>
<x:table xmlns:x="http://schemas.openxmlformats.org/spreadsheetml/2006/main" id="1" name="ClientComplianceTable" displayName="ClientComplianceTable" ref="A5:G40" headerRowCount="1" totalsRowCount="0" totalsRowShown="0">
  <x:autoFilter ref="A5:G40"/>
  <x:tableColumns count="7">
    <x:tableColumn id="1" name="Client Name"/>
    <x:tableColumn id="2" name="Policy #1"/>
    <x:tableColumn id="3" name="Policy #2–7"/>
    <x:tableColumn id="4" name="Annual Review"/>
    <x:tableColumn id="5" name="CSIRP Tabletop Completion"/>
    <x:tableColumn id="6" name="RSAW Evidence Tracker"/>
    <x:tableColumn id="7" name="CIP Monthly Ques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ComplianceSchedule" displayName="MasterComplianceSchedule" ref="A15:G225" headerRowCount="1" totalsRowCount="0" totalsRowShown="0">
  <x:autoFilter ref="A15:G225"/>
  <x:tableColumns count="7">
    <x:tableColumn id="1" name="Client"/>
    <x:tableColumn id="2" name="Content Item"/>
    <x:tableColumn id="3" name="Last Completed"/>
    <x:tableColumn id="4" name="Frequency (Months)"/>
    <x:tableColumn id="5" name="Next Due"/>
    <x:tableColumn id="6" name="Days Remaining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4abf7bffec4a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256072e24f49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1.670000076293945" hidden="0" customWidth="1"/>
    <x:col min="3" max="3" width="11.670000076293945" hidden="0" customWidth="1"/>
    <x:col min="4" max="4" width="12.779999732971191" hidden="0" customWidth="1"/>
    <x:col min="5" max="5" width="17.219999313354492" hidden="0" customWidth="1"/>
    <x:col min="6" max="6" width="16.110000610351562" hidden="0" customWidth="1"/>
    <x:col min="7" max="7" width="15.5600004196167" hidden="0" customWidth="1"/>
    <x:col min="8" max="8" width="20.559999465942383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</x:cols>
  <x:sheetData>
    <x:row r="1" ht="30" customHeight="1">
      <x:c r="A1" s="273" t="str">
        <x:v>NERC CIP Compliance Client Overview</x:v>
      </x:c>
      <x:c r="B1" s="273"/>
      <x:c r="C1" s="273"/>
      <x:c r="D1" s="273"/>
      <x:c r="E1" s="273"/>
      <x:c r="F1" s="273"/>
      <x:c r="G1" s="273"/>
    </x:row>
    <x:row r="2" ht="32" customHeight="1">
      <x:c r="A2" s="278" t="str">
        <x:f>"Enter the most recent completion date for each client. Colors are based on the calculated next due date as of "&amp;TEXT(TODAY(),"mmmm d, yyyy")&amp;"."</x:f>
        <x:v>Enter the most recent completion date for each client. Colors are based on the calculated next due date as of August 19, 2026.</x:v>
      </x:c>
      <x:c r="B2" s="278"/>
      <x:c r="C2" s="278"/>
      <x:c r="D2" s="278"/>
      <x:c r="E2" s="278"/>
      <x:c r="F2" s="278"/>
      <x:c r="G2" s="278"/>
      <x:c r="H2" s="273" t="str">
        <x:v>Editable Timing Settings</x:v>
      </x:c>
      <x:c r="I2" s="273"/>
      <x:c r="J2" s="273"/>
      <x:c r="K2" s="273"/>
    </x:row>
    <x:row r="3" ht="40" customHeight="1">
      <x:c r="H3" s="278" t="str">
        <x:v>Change these values to adjust recurrence and warning windows. Decimal months are allowed for alerts.</x:v>
      </x:c>
      <x:c r="I3" s="278"/>
      <x:c r="J3" s="278"/>
      <x:c r="K3" s="278"/>
    </x:row>
    <x:row r="4" ht="38" customHeight="1">
      <x:c r="H4" s="284" t="str">
        <x:v>Content Item</x:v>
      </x:c>
      <x:c r="I4" s="284" t="str">
        <x:v>Frequency (Months)</x:v>
      </x:c>
      <x:c r="J4" s="284" t="str">
        <x:v>Yellow Within (Months)</x:v>
      </x:c>
      <x:c r="K4" s="284" t="str">
        <x:v>Red Within (Months)</x:v>
      </x:c>
    </x:row>
    <x:row r="5" ht="24" customHeight="1">
      <x:c r="A5" s="284" t="str">
        <x:v>Client Name</x:v>
      </x:c>
      <x:c r="B5" s="284" t="str">
        <x:v>Policy #1</x:v>
      </x:c>
      <x:c r="C5" s="284" t="str">
        <x:v>Policy #2–7</x:v>
      </x:c>
      <x:c r="D5" s="284" t="str">
        <x:v>Annual Review</x:v>
      </x:c>
      <x:c r="E5" s="284" t="str">
        <x:v>CSIRP Tabletop Completion</x:v>
      </x:c>
      <x:c r="F5" s="284" t="str">
        <x:v>RSAW Evidence Tracker</x:v>
      </x:c>
      <x:c r="G5" s="284" t="str">
        <x:v>CIP Monthly Questions</x:v>
      </x:c>
      <x:c r="H5" s="311" t="str">
        <x:v>Policy #1</x:v>
      </x:c>
      <x:c r="I5" s="309" t="n">
        <x:v>15</x:v>
      </x:c>
      <x:c r="J5" s="310" t="n">
        <x:v>4</x:v>
      </x:c>
      <x:c r="K5" s="310" t="n">
        <x:v>2</x:v>
      </x:c>
    </x:row>
    <x:row r="6" ht="24" customHeight="1">
      <x:c r="A6" s="19" t="str">
        <x:v>Company X</x:v>
      </x:c>
      <x:c r="B6" s="297" t="n">
        <x:v>46037</x:v>
      </x:c>
      <x:c r="C6" s="297" t="n">
        <x:v>46037</x:v>
      </x:c>
      <x:c r="D6" s="297" t="n">
        <x:v>46037</x:v>
      </x:c>
      <x:c r="E6" s="297" t="n">
        <x:v>45189</x:v>
      </x:c>
      <x:c r="F6" s="297" t="n">
        <x:v>46174</x:v>
      </x:c>
      <x:c r="G6" s="298"/>
      <x:c r="H6" s="311" t="str">
        <x:v>Policy #2–7</x:v>
      </x:c>
      <x:c r="I6" s="309" t="n">
        <x:v>15</x:v>
      </x:c>
      <x:c r="J6" s="310" t="n">
        <x:v>4</x:v>
      </x:c>
      <x:c r="K6" s="310" t="n">
        <x:v>2</x:v>
      </x:c>
    </x:row>
    <x:row r="7" ht="24" customHeight="1">
      <x:c r="A7" s="22" t="str">
        <x:v>Company Y</x:v>
      </x:c>
      <x:c r="B7" s="299" t="n">
        <x:v>46037</x:v>
      </x:c>
      <x:c r="C7" s="299" t="n">
        <x:v>46037</x:v>
      </x:c>
      <x:c r="D7" s="299" t="n">
        <x:v>46037</x:v>
      </x:c>
      <x:c r="E7" s="299" t="n">
        <x:v>45214</x:v>
      </x:c>
      <x:c r="F7" s="299" t="n">
        <x:v>46174</x:v>
      </x:c>
      <x:c r="G7" s="300"/>
      <x:c r="H7" s="311" t="str">
        <x:v>Annual Review</x:v>
      </x:c>
      <x:c r="I7" s="309" t="n">
        <x:v>15</x:v>
      </x:c>
      <x:c r="J7" s="310" t="n">
        <x:v>4</x:v>
      </x:c>
      <x:c r="K7" s="310" t="n">
        <x:v>2</x:v>
      </x:c>
    </x:row>
    <x:row r="8" ht="24" customHeight="1">
      <x:c r="A8" s="22" t="str">
        <x:v>Company Z</x:v>
      </x:c>
      <x:c r="B8" s="299" t="n">
        <x:v>46037</x:v>
      </x:c>
      <x:c r="C8" s="299" t="n">
        <x:v>46037</x:v>
      </x:c>
      <x:c r="D8" s="299" t="n">
        <x:v>46037</x:v>
      </x:c>
      <x:c r="E8" s="299" t="n">
        <x:v>45214</x:v>
      </x:c>
      <x:c r="F8" s="299" t="n">
        <x:v>46174</x:v>
      </x:c>
      <x:c r="G8" s="300"/>
      <x:c r="H8" s="311" t="str">
        <x:v>CSIRP Tabletop Completion</x:v>
      </x:c>
      <x:c r="I8" s="309" t="n">
        <x:v>36</x:v>
      </x:c>
      <x:c r="J8" s="310" t="n">
        <x:v>6</x:v>
      </x:c>
      <x:c r="K8" s="310" t="n">
        <x:v>3</x:v>
      </x:c>
    </x:row>
    <x:row r="9" ht="24" customHeight="1">
      <x:c r="A9" s="22" t="str">
        <x:v>Organization 4</x:v>
      </x:c>
      <x:c r="B9" s="299" t="n">
        <x:v>46037</x:v>
      </x:c>
      <x:c r="C9" s="299" t="n">
        <x:v>46037</x:v>
      </x:c>
      <x:c r="D9" s="299" t="n">
        <x:v>46037</x:v>
      </x:c>
      <x:c r="E9" s="299" t="n">
        <x:v>45214</x:v>
      </x:c>
      <x:c r="F9" s="299" t="n">
        <x:v>46174</x:v>
      </x:c>
      <x:c r="G9" s="300"/>
      <x:c r="H9" s="311" t="str">
        <x:v>RSAW Evidence Tracker</x:v>
      </x:c>
      <x:c r="I9" s="309" t="n">
        <x:v>12</x:v>
      </x:c>
      <x:c r="J9" s="310" t="n">
        <x:v>4</x:v>
      </x:c>
      <x:c r="K9" s="310" t="n">
        <x:v>2</x:v>
      </x:c>
    </x:row>
    <x:row r="10" ht="24" customHeight="1">
      <x:c r="A10" s="22" t="str">
        <x:v>Organization 5</x:v>
      </x:c>
      <x:c r="B10" s="299" t="n">
        <x:v>46037</x:v>
      </x:c>
      <x:c r="C10" s="299" t="n">
        <x:v>46037</x:v>
      </x:c>
      <x:c r="D10" s="299" t="n">
        <x:v>46037</x:v>
      </x:c>
      <x:c r="E10" s="299" t="n">
        <x:v>45214</x:v>
      </x:c>
      <x:c r="F10" s="299" t="n">
        <x:v>46174</x:v>
      </x:c>
      <x:c r="G10" s="300"/>
      <x:c r="H10" s="311" t="str">
        <x:v>CIP Monthly Questions</x:v>
      </x:c>
      <x:c r="I10" s="309" t="n">
        <x:v>1</x:v>
      </x:c>
      <x:c r="J10" s="310" t="n">
        <x:v>0.5</x:v>
      </x:c>
      <x:c r="K10" s="310" t="n">
        <x:v>0.25</x:v>
      </x:c>
    </x:row>
    <x:row r="11" ht="22" customHeight="1">
      <x:c r="A11" s="22" t="str">
        <x:v>Organization 6</x:v>
      </x:c>
      <x:c r="B11" s="299" t="n">
        <x:v>46037</x:v>
      </x:c>
      <x:c r="C11" s="299" t="n">
        <x:v>46037</x:v>
      </x:c>
      <x:c r="D11" s="299" t="n">
        <x:v>46037</x:v>
      </x:c>
      <x:c r="E11" s="299" t="n">
        <x:v>45214</x:v>
      </x:c>
      <x:c r="F11" s="299" t="n">
        <x:v>46174</x:v>
      </x:c>
      <x:c r="G11" s="300"/>
      <x:c r="H11"/>
      <x:c r="I11"/>
      <x:c r="J11"/>
      <x:c r="K11"/>
    </x:row>
    <x:row r="12" ht="22" customHeight="1">
      <x:c r="A12" s="22" t="str">
        <x:v>Organization 7</x:v>
      </x:c>
      <x:c r="B12" s="299" t="n">
        <x:v>46037</x:v>
      </x:c>
      <x:c r="C12" s="299" t="n">
        <x:v>46037</x:v>
      </x:c>
      <x:c r="D12" s="299" t="n">
        <x:v>46037</x:v>
      </x:c>
      <x:c r="E12" s="299" t="n">
        <x:v>45214</x:v>
      </x:c>
      <x:c r="F12" s="299" t="n">
        <x:v>46174</x:v>
      </x:c>
      <x:c r="G12" s="300"/>
      <x:c r="H12" s="272" t="str">
        <x:v>Color Key</x:v>
      </x:c>
      <x:c r="I12" s="272"/>
      <x:c r="J12" s="272"/>
      <x:c r="K12" s="272"/>
    </x:row>
    <x:row r="13" ht="29" customHeight="1">
      <x:c r="A13" s="22" t="str">
        <x:v>Organization 8</x:v>
      </x:c>
      <x:c r="B13" s="299" t="n">
        <x:v>46037</x:v>
      </x:c>
      <x:c r="C13" s="299" t="n">
        <x:v>46037</x:v>
      </x:c>
      <x:c r="D13" s="299" t="n">
        <x:v>46037</x:v>
      </x:c>
      <x:c r="E13" s="299" t="n">
        <x:v>45214</x:v>
      </x:c>
      <x:c r="F13" s="299" t="n">
        <x:v>46174</x:v>
      </x:c>
      <x:c r="G13" s="300"/>
      <x:c r="H13" s="314" t="str">
        <x:v>Green</x:v>
      </x:c>
      <x:c r="I13" s="44" t="str">
        <x:v>Next due date is outside the yellow warning window.</x:v>
      </x:c>
      <x:c r="J13" s="44"/>
      <x:c r="K13" s="44"/>
    </x:row>
    <x:row r="14" ht="29" customHeight="1">
      <x:c r="A14" s="22" t="str">
        <x:v>Organization 9</x:v>
      </x:c>
      <x:c r="B14" s="299" t="n">
        <x:v>46037</x:v>
      </x:c>
      <x:c r="C14" s="299" t="n">
        <x:v>46037</x:v>
      </x:c>
      <x:c r="D14" s="299" t="n">
        <x:v>46037</x:v>
      </x:c>
      <x:c r="E14" s="299" t="n">
        <x:v>45214</x:v>
      </x:c>
      <x:c r="F14" s="299" t="n">
        <x:v>46174</x:v>
      </x:c>
      <x:c r="G14" s="300"/>
      <x:c r="H14" s="317" t="str">
        <x:v>Yellow</x:v>
      </x:c>
      <x:c r="I14" s="44" t="str">
        <x:v>Next due date is within the editable yellow window.</x:v>
      </x:c>
      <x:c r="J14" s="44"/>
      <x:c r="K14" s="44"/>
    </x:row>
    <x:row r="15" ht="29" customHeight="1">
      <x:c r="A15" s="22" t="str">
        <x:v>Organization 10</x:v>
      </x:c>
      <x:c r="B15" s="299" t="n">
        <x:v>46037</x:v>
      </x:c>
      <x:c r="C15" s="299" t="n">
        <x:v>46037</x:v>
      </x:c>
      <x:c r="D15" s="299" t="n">
        <x:v>46037</x:v>
      </x:c>
      <x:c r="E15" s="299" t="n">
        <x:v>45214</x:v>
      </x:c>
      <x:c r="F15" s="299" t="n">
        <x:v>46174</x:v>
      </x:c>
      <x:c r="G15" s="300"/>
      <x:c r="H15" s="320" t="str">
        <x:v>Red</x:v>
      </x:c>
      <x:c r="I15" s="44" t="str">
        <x:v>Next due date is within the red window or already overdue.</x:v>
      </x:c>
      <x:c r="J15" s="44"/>
      <x:c r="K15" s="44"/>
    </x:row>
    <x:row r="16" ht="29" customHeight="1">
      <x:c r="A16" s="22" t="str">
        <x:v>Organization 11</x:v>
      </x:c>
      <x:c r="B16" s="299" t="n">
        <x:v>46037</x:v>
      </x:c>
      <x:c r="C16" s="299" t="n">
        <x:v>46037</x:v>
      </x:c>
      <x:c r="D16" s="299" t="n">
        <x:v>46037</x:v>
      </x:c>
      <x:c r="E16" s="299" t="n">
        <x:v>45214</x:v>
      </x:c>
      <x:c r="F16" s="299" t="n">
        <x:v>46174</x:v>
      </x:c>
      <x:c r="G16" s="300"/>
      <x:c r="H16" s="322" t="str">
        <x:v>White</x:v>
      </x:c>
      <x:c r="I16" s="44" t="str">
        <x:v>No completion date has been entered.</x:v>
      </x:c>
      <x:c r="J16" s="44"/>
      <x:c r="K16" s="44"/>
    </x:row>
    <x:row r="17" ht="22" customHeight="1">
      <x:c r="A17" s="22" t="str">
        <x:v>Organization 12</x:v>
      </x:c>
      <x:c r="B17" s="299" t="n">
        <x:v>46037</x:v>
      </x:c>
      <x:c r="C17" s="299" t="n">
        <x:v>46037</x:v>
      </x:c>
      <x:c r="D17" s="299" t="n">
        <x:v>46037</x:v>
      </x:c>
      <x:c r="E17" s="299" t="n">
        <x:v>45214</x:v>
      </x:c>
      <x:c r="F17" s="299" t="n">
        <x:v>46174</x:v>
      </x:c>
      <x:c r="G17" s="300"/>
      <x:c r="H17"/>
      <x:c r="I17"/>
      <x:c r="J17"/>
      <x:c r="K17"/>
    </x:row>
    <x:row r="18" ht="22" customHeight="1">
      <x:c r="A18" s="22" t="str">
        <x:v>Organization 13</x:v>
      </x:c>
      <x:c r="B18" s="299" t="n">
        <x:v>46037</x:v>
      </x:c>
      <x:c r="C18" s="299" t="n">
        <x:v>46037</x:v>
      </x:c>
      <x:c r="D18" s="299" t="n">
        <x:v>46037</x:v>
      </x:c>
      <x:c r="E18" s="299" t="n">
        <x:v>45214</x:v>
      </x:c>
      <x:c r="F18" s="299" t="n">
        <x:v>46174</x:v>
      </x:c>
      <x:c r="G18" s="300"/>
      <x:c r="H18" s="323" t="str">
        <x:v>Migration Note</x:v>
      </x:c>
      <x:c r="I18" s="323"/>
      <x:c r="J18" s="323"/>
      <x:c r="K18" s="323"/>
    </x:row>
    <x:row r="19" ht="22" customHeight="1">
      <x:c r="A19" s="22" t="str">
        <x:v>Organization 14</x:v>
      </x:c>
      <x:c r="B19" s="299" t="n">
        <x:v>46037</x:v>
      </x:c>
      <x:c r="C19" s="299" t="n">
        <x:v>46037</x:v>
      </x:c>
      <x:c r="D19" s="299" t="n">
        <x:v>46037</x:v>
      </x:c>
      <x:c r="E19" s="299" t="n">
        <x:v>45214</x:v>
      </x:c>
      <x:c r="F19" s="299" t="n">
        <x:v>46174</x:v>
      </x:c>
      <x:c r="G19" s="300"/>
      <x:c r="H19" s="344" t="str">
        <x:v>The original Annual Program Review date is retained under Annual Review and was also carried into the two Policy columns. Update any client-specific dates as needed.</x:v>
      </x:c>
      <x:c r="I19" s="345"/>
      <x:c r="J19" s="345"/>
      <x:c r="K19" s="346"/>
    </x:row>
    <x:row r="20" ht="22" customHeight="1">
      <x:c r="A20" s="22" t="str">
        <x:v>Organization 15</x:v>
      </x:c>
      <x:c r="B20" s="299" t="n">
        <x:v>46037</x:v>
      </x:c>
      <x:c r="C20" s="299" t="n">
        <x:v>46037</x:v>
      </x:c>
      <x:c r="D20" s="299" t="n">
        <x:v>46037</x:v>
      </x:c>
      <x:c r="E20" s="299" t="n">
        <x:v>45214</x:v>
      </x:c>
      <x:c r="F20" s="299" t="n">
        <x:v>46174</x:v>
      </x:c>
      <x:c r="G20" s="300"/>
      <x:c r="H20" s="347"/>
      <x:c r="I20" s="348"/>
      <x:c r="J20" s="348"/>
      <x:c r="K20" s="349"/>
    </x:row>
    <x:row r="21" ht="22" customHeight="1">
      <x:c r="A21" s="22" t="str">
        <x:v>Organization 16</x:v>
      </x:c>
      <x:c r="B21" s="299" t="n">
        <x:v>46037</x:v>
      </x:c>
      <x:c r="C21" s="299" t="n">
        <x:v>46037</x:v>
      </x:c>
      <x:c r="D21" s="299" t="n">
        <x:v>46037</x:v>
      </x:c>
      <x:c r="E21" s="299" t="n">
        <x:v>45214</x:v>
      </x:c>
      <x:c r="F21" s="299" t="n">
        <x:v>46174</x:v>
      </x:c>
      <x:c r="G21" s="300"/>
      <x:c r="H21" s="350"/>
      <x:c r="I21" s="351"/>
      <x:c r="J21" s="351"/>
      <x:c r="K21" s="352"/>
    </x:row>
    <x:row r="22" ht="22" customHeight="1">
      <x:c r="A22" s="22" t="str">
        <x:v>Organization 17</x:v>
      </x:c>
      <x:c r="B22" s="299" t="n">
        <x:v>46037</x:v>
      </x:c>
      <x:c r="C22" s="299" t="n">
        <x:v>46037</x:v>
      </x:c>
      <x:c r="D22" s="299" t="n">
        <x:v>46037</x:v>
      </x:c>
      <x:c r="E22" s="299" t="n">
        <x:v>45214</x:v>
      </x:c>
      <x:c r="F22" s="299" t="n">
        <x:v>46174</x:v>
      </x:c>
      <x:c r="G22" s="300"/>
    </x:row>
    <x:row r="23" ht="22" customHeight="1">
      <x:c r="A23" s="22" t="str">
        <x:v>Organization 18</x:v>
      </x:c>
      <x:c r="B23" s="299" t="n">
        <x:v>46037</x:v>
      </x:c>
      <x:c r="C23" s="299" t="n">
        <x:v>46037</x:v>
      </x:c>
      <x:c r="D23" s="299" t="n">
        <x:v>46037</x:v>
      </x:c>
      <x:c r="E23" s="299" t="n">
        <x:v>45214</x:v>
      </x:c>
      <x:c r="F23" s="299" t="n">
        <x:v>46174</x:v>
      </x:c>
      <x:c r="G23" s="300"/>
    </x:row>
    <x:row r="24" ht="22" customHeight="1">
      <x:c r="A24" s="22" t="str">
        <x:v>Organization 19</x:v>
      </x:c>
      <x:c r="B24" s="299" t="n">
        <x:v>46037</x:v>
      </x:c>
      <x:c r="C24" s="299" t="n">
        <x:v>46037</x:v>
      </x:c>
      <x:c r="D24" s="299" t="n">
        <x:v>46037</x:v>
      </x:c>
      <x:c r="E24" s="299" t="n">
        <x:v>45214</x:v>
      </x:c>
      <x:c r="F24" s="299" t="n">
        <x:v>46174</x:v>
      </x:c>
      <x:c r="G24" s="300"/>
    </x:row>
    <x:row r="25" ht="22" customHeight="1">
      <x:c r="A25" s="22" t="str">
        <x:v>Organization 20</x:v>
      </x:c>
      <x:c r="B25" s="299" t="n">
        <x:v>46037</x:v>
      </x:c>
      <x:c r="C25" s="299" t="n">
        <x:v>46037</x:v>
      </x:c>
      <x:c r="D25" s="299" t="n">
        <x:v>46037</x:v>
      </x:c>
      <x:c r="E25" s="299" t="n">
        <x:v>45214</x:v>
      </x:c>
      <x:c r="F25" s="299" t="n">
        <x:v>46174</x:v>
      </x:c>
      <x:c r="G25" s="300"/>
    </x:row>
    <x:row r="26" ht="22" customHeight="1">
      <x:c r="A26" s="22" t="str">
        <x:v>Organization 21</x:v>
      </x:c>
      <x:c r="B26" s="299" t="n">
        <x:v>46037</x:v>
      </x:c>
      <x:c r="C26" s="299" t="n">
        <x:v>46037</x:v>
      </x:c>
      <x:c r="D26" s="299" t="n">
        <x:v>46037</x:v>
      </x:c>
      <x:c r="E26" s="299" t="n">
        <x:v>45214</x:v>
      </x:c>
      <x:c r="F26" s="299" t="n">
        <x:v>46174</x:v>
      </x:c>
      <x:c r="G26" s="300"/>
    </x:row>
    <x:row r="27" ht="22" customHeight="1">
      <x:c r="A27" s="22" t="str">
        <x:v>Organization 22</x:v>
      </x:c>
      <x:c r="B27" s="299" t="n">
        <x:v>46037</x:v>
      </x:c>
      <x:c r="C27" s="299" t="n">
        <x:v>46037</x:v>
      </x:c>
      <x:c r="D27" s="299" t="n">
        <x:v>46037</x:v>
      </x:c>
      <x:c r="E27" s="299" t="n">
        <x:v>45214</x:v>
      </x:c>
      <x:c r="F27" s="299" t="n">
        <x:v>46174</x:v>
      </x:c>
      <x:c r="G27" s="300"/>
    </x:row>
    <x:row r="28" ht="22" customHeight="1">
      <x:c r="A28" s="22" t="str">
        <x:v>Organization 23</x:v>
      </x:c>
      <x:c r="B28" s="299" t="n">
        <x:v>46037</x:v>
      </x:c>
      <x:c r="C28" s="299" t="n">
        <x:v>46037</x:v>
      </x:c>
      <x:c r="D28" s="299" t="n">
        <x:v>46037</x:v>
      </x:c>
      <x:c r="E28" s="299" t="n">
        <x:v>45214</x:v>
      </x:c>
      <x:c r="F28" s="299" t="n">
        <x:v>46174</x:v>
      </x:c>
      <x:c r="G28" s="300"/>
    </x:row>
    <x:row r="29" ht="22" customHeight="1">
      <x:c r="A29" s="22" t="str">
        <x:v>Organization 24</x:v>
      </x:c>
      <x:c r="B29" s="299" t="n">
        <x:v>46037</x:v>
      </x:c>
      <x:c r="C29" s="299" t="n">
        <x:v>46037</x:v>
      </x:c>
      <x:c r="D29" s="299" t="n">
        <x:v>46037</x:v>
      </x:c>
      <x:c r="E29" s="299" t="n">
        <x:v>45214</x:v>
      </x:c>
      <x:c r="F29" s="299" t="n">
        <x:v>46174</x:v>
      </x:c>
      <x:c r="G29" s="300"/>
    </x:row>
    <x:row r="30" ht="22" customHeight="1">
      <x:c r="A30" s="22" t="str">
        <x:v>Organization 25</x:v>
      </x:c>
      <x:c r="B30" s="299" t="n">
        <x:v>46037</x:v>
      </x:c>
      <x:c r="C30" s="299" t="n">
        <x:v>46037</x:v>
      </x:c>
      <x:c r="D30" s="299" t="n">
        <x:v>46037</x:v>
      </x:c>
      <x:c r="E30" s="299" t="n">
        <x:v>45214</x:v>
      </x:c>
      <x:c r="F30" s="299" t="n">
        <x:v>46174</x:v>
      </x:c>
      <x:c r="G30" s="300"/>
    </x:row>
    <x:row r="31" ht="22" customHeight="1">
      <x:c r="A31" s="22" t="str">
        <x:v>Organization 26</x:v>
      </x:c>
      <x:c r="B31" s="299" t="n">
        <x:v>46037</x:v>
      </x:c>
      <x:c r="C31" s="299" t="n">
        <x:v>46037</x:v>
      </x:c>
      <x:c r="D31" s="299" t="n">
        <x:v>46037</x:v>
      </x:c>
      <x:c r="E31" s="299" t="n">
        <x:v>45214</x:v>
      </x:c>
      <x:c r="F31" s="299" t="n">
        <x:v>46174</x:v>
      </x:c>
      <x:c r="G31" s="300"/>
    </x:row>
    <x:row r="32" ht="22" customHeight="1">
      <x:c r="A32" s="22" t="str">
        <x:v>Organization 27</x:v>
      </x:c>
      <x:c r="B32" s="299" t="n">
        <x:v>46037</x:v>
      </x:c>
      <x:c r="C32" s="299" t="n">
        <x:v>46037</x:v>
      </x:c>
      <x:c r="D32" s="299" t="n">
        <x:v>46037</x:v>
      </x:c>
      <x:c r="E32" s="299" t="n">
        <x:v>45214</x:v>
      </x:c>
      <x:c r="F32" s="299" t="n">
        <x:v>46174</x:v>
      </x:c>
      <x:c r="G32" s="300"/>
    </x:row>
    <x:row r="33" ht="22" customHeight="1">
      <x:c r="A33" s="22" t="str">
        <x:v>Organization 28</x:v>
      </x:c>
      <x:c r="B33" s="299" t="n">
        <x:v>46037</x:v>
      </x:c>
      <x:c r="C33" s="299" t="n">
        <x:v>46037</x:v>
      </x:c>
      <x:c r="D33" s="299" t="n">
        <x:v>46037</x:v>
      </x:c>
      <x:c r="E33" s="299" t="n">
        <x:v>45214</x:v>
      </x:c>
      <x:c r="F33" s="299" t="n">
        <x:v>46174</x:v>
      </x:c>
      <x:c r="G33" s="300"/>
    </x:row>
    <x:row r="34" ht="22" customHeight="1">
      <x:c r="A34" s="22" t="str">
        <x:v>Organization 29</x:v>
      </x:c>
      <x:c r="B34" s="299" t="n">
        <x:v>46037</x:v>
      </x:c>
      <x:c r="C34" s="299" t="n">
        <x:v>46037</x:v>
      </x:c>
      <x:c r="D34" s="299" t="n">
        <x:v>46037</x:v>
      </x:c>
      <x:c r="E34" s="299" t="n">
        <x:v>45214</x:v>
      </x:c>
      <x:c r="F34" s="299" t="n">
        <x:v>46174</x:v>
      </x:c>
      <x:c r="G34" s="300"/>
    </x:row>
    <x:row r="35" ht="22" customHeight="1">
      <x:c r="A35" s="22" t="str">
        <x:v>Organization 30</x:v>
      </x:c>
      <x:c r="B35" s="299" t="n">
        <x:v>46037</x:v>
      </x:c>
      <x:c r="C35" s="299" t="n">
        <x:v>46037</x:v>
      </x:c>
      <x:c r="D35" s="299" t="n">
        <x:v>46037</x:v>
      </x:c>
      <x:c r="E35" s="299" t="n">
        <x:v>45214</x:v>
      </x:c>
      <x:c r="F35" s="299" t="n">
        <x:v>46174</x:v>
      </x:c>
      <x:c r="G35" s="300"/>
    </x:row>
    <x:row r="36" ht="22" customHeight="1">
      <x:c r="A36" s="22" t="str">
        <x:v>Organization 31</x:v>
      </x:c>
      <x:c r="B36" s="299" t="n">
        <x:v>46037</x:v>
      </x:c>
      <x:c r="C36" s="299" t="n">
        <x:v>46037</x:v>
      </x:c>
      <x:c r="D36" s="299" t="n">
        <x:v>46037</x:v>
      </x:c>
      <x:c r="E36" s="299" t="n">
        <x:v>45214</x:v>
      </x:c>
      <x:c r="F36" s="299" t="n">
        <x:v>46174</x:v>
      </x:c>
      <x:c r="G36" s="300"/>
    </x:row>
    <x:row r="37" ht="22" customHeight="1">
      <x:c r="A37" s="22" t="str">
        <x:v>Organization 32</x:v>
      </x:c>
      <x:c r="B37" s="299" t="n">
        <x:v>46037</x:v>
      </x:c>
      <x:c r="C37" s="299" t="n">
        <x:v>46037</x:v>
      </x:c>
      <x:c r="D37" s="299" t="n">
        <x:v>46037</x:v>
      </x:c>
      <x:c r="E37" s="299" t="n">
        <x:v>45214</x:v>
      </x:c>
      <x:c r="F37" s="299" t="n">
        <x:v>46174</x:v>
      </x:c>
      <x:c r="G37" s="300"/>
    </x:row>
    <x:row r="38" ht="22" customHeight="1">
      <x:c r="A38" s="22" t="str">
        <x:v>Organization 33</x:v>
      </x:c>
      <x:c r="B38" s="299" t="n">
        <x:v>46037</x:v>
      </x:c>
      <x:c r="C38" s="299" t="n">
        <x:v>46037</x:v>
      </x:c>
      <x:c r="D38" s="299" t="n">
        <x:v>46037</x:v>
      </x:c>
      <x:c r="E38" s="299" t="n">
        <x:v>45214</x:v>
      </x:c>
      <x:c r="F38" s="299" t="n">
        <x:v>46174</x:v>
      </x:c>
      <x:c r="G38" s="300"/>
    </x:row>
    <x:row r="39" ht="22" customHeight="1">
      <x:c r="A39" s="22" t="str">
        <x:v>Organization 34</x:v>
      </x:c>
      <x:c r="B39" s="299" t="n">
        <x:v>46037</x:v>
      </x:c>
      <x:c r="C39" s="299" t="n">
        <x:v>46037</x:v>
      </x:c>
      <x:c r="D39" s="299" t="n">
        <x:v>46037</x:v>
      </x:c>
      <x:c r="E39" s="299" t="n">
        <x:v>45214</x:v>
      </x:c>
      <x:c r="F39" s="299" t="n">
        <x:v>46174</x:v>
      </x:c>
      <x:c r="G39" s="300"/>
    </x:row>
    <x:row r="40" ht="22" customHeight="1">
      <x:c r="A40" s="25" t="str">
        <x:v>Organization 35</x:v>
      </x:c>
      <x:c r="B40" s="301" t="n">
        <x:v>46037</x:v>
      </x:c>
      <x:c r="C40" s="301" t="n">
        <x:v>46037</x:v>
      </x:c>
      <x:c r="D40" s="301" t="n">
        <x:v>46037</x:v>
      </x:c>
      <x:c r="E40" s="301" t="n">
        <x:v>45214</x:v>
      </x:c>
      <x:c r="F40" s="301" t="n">
        <x:v>46174</x:v>
      </x:c>
      <x:c r="G40" s="302"/>
    </x:row>
    <x:row r="42" ht="32" customHeight="1">
      <x:c r="A42" s="356" t="str">
        <x:v>How to use: enter the latest completed date. The workbook adds the Frequency value, then colors the entered date according to the editable yellow/red warning windows.</x:v>
      </x:c>
      <x:c r="B42" s="356"/>
      <x:c r="C42" s="356"/>
      <x:c r="D42" s="356"/>
      <x:c r="E42" s="356"/>
      <x:c r="F42" s="356"/>
      <x:c r="G42" s="356"/>
    </x:row>
  </x:sheetData>
  <x:mergeCells>
    <x:mergeCell ref="I16:K16"/>
    <x:mergeCell ref="A1:G1"/>
    <x:mergeCell ref="A2:G2"/>
    <x:mergeCell ref="H2:K2"/>
    <x:mergeCell ref="H3:K3"/>
    <x:mergeCell ref="H12:K12"/>
    <x:mergeCell ref="I13:K13"/>
    <x:mergeCell ref="I14:K14"/>
    <x:mergeCell ref="I15:K15"/>
    <x:mergeCell ref="H18:K18"/>
    <x:mergeCell ref="H19:K21"/>
    <x:mergeCell ref="A42:G42"/>
  </x:mergeCells>
  <x:conditionalFormatting sqref="B6:B40">
    <x:cfRule type="expression" dxfId="0" priority="1">
      <x:formula>AND(B6&lt;&gt;"",EDATE(B6,$I$5)-TODAY()&gt;$J$5*30.4375)</x:formula>
    </x:cfRule>
    <x:cfRule type="expression" dxfId="1" priority="2">
      <x:formula>AND(B6&lt;&gt;"",EDATE(B6,$I$5)-TODAY()&gt;$K$5*30.4375,EDATE(B6,$I$5)-TODAY()&lt;=$J$5*30.4375)</x:formula>
    </x:cfRule>
    <x:cfRule type="expression" dxfId="2" priority="3">
      <x:formula>AND(B6&lt;&gt;"",EDATE(B6,$I$5)-TODAY()&lt;=$K$5*30.4375)</x:formula>
    </x:cfRule>
    <x:cfRule type="expression" dxfId="23" priority="16">
      <x:formula>AND(B6&lt;&gt;"",EDATE(B6,$I$5)-TODAY()&gt;$J$5*30.4375)</x:formula>
    </x:cfRule>
    <x:cfRule type="expression" dxfId="24" priority="17">
      <x:formula>AND(B6&lt;&gt;"",EDATE(B6,$I$5)-TODAY()&gt;$K$5*30.4375,EDATE(B6,$I$5)-TODAY()&lt;=$J$5*30.4375)</x:formula>
    </x:cfRule>
    <x:cfRule type="expression" dxfId="25" priority="18">
      <x:formula>AND(B6&lt;&gt;"",EDATE(B6,$I$5)-TODAY()&lt;=$K$5*30.4375)</x:formula>
    </x:cfRule>
    <x:cfRule type="expression" dxfId="45" priority="34">
      <x:formula>AND(B6&lt;&gt;"",EDATE(B6,$I$5)-TODAY()&gt;$J$5*30.4375)</x:formula>
    </x:cfRule>
    <x:cfRule type="expression" dxfId="46" priority="35">
      <x:formula>AND(B6&lt;&gt;"",EDATE(B6,$I$5)-TODAY()&gt;$K$5*30.4375,EDATE(B6,$I$5)-TODAY()&lt;=$J$5*30.4375)</x:formula>
    </x:cfRule>
    <x:cfRule type="expression" dxfId="47" priority="36">
      <x:formula>AND(B6&lt;&gt;"",EDATE(B6,$I$5)-TODAY()&lt;=$K$5*30.4375)</x:formula>
    </x:cfRule>
  </x:conditionalFormatting>
  <x:conditionalFormatting sqref="C6:C40">
    <x:cfRule type="expression" dxfId="3" priority="4">
      <x:formula>AND(C6&lt;&gt;"",EDATE(C6,$I$6)-TODAY()&gt;$J$6*30.4375)</x:formula>
    </x:cfRule>
    <x:cfRule type="expression" dxfId="4" priority="5">
      <x:formula>AND(C6&lt;&gt;"",EDATE(C6,$I$6)-TODAY()&gt;$K$6*30.4375,EDATE(C6,$I$6)-TODAY()&lt;=$J$6*30.4375)</x:formula>
    </x:cfRule>
    <x:cfRule type="expression" dxfId="5" priority="6">
      <x:formula>AND(C6&lt;&gt;"",EDATE(C6,$I$6)-TODAY()&lt;=$K$6*30.4375)</x:formula>
    </x:cfRule>
    <x:cfRule type="expression" dxfId="26" priority="19">
      <x:formula>AND(C6&lt;&gt;"",EDATE(C6,$I$6)-TODAY()&gt;$J$6*30.4375)</x:formula>
    </x:cfRule>
    <x:cfRule type="expression" dxfId="27" priority="20">
      <x:formula>AND(C6&lt;&gt;"",EDATE(C6,$I$6)-TODAY()&gt;$K$6*30.4375,EDATE(C6,$I$6)-TODAY()&lt;=$J$6*30.4375)</x:formula>
    </x:cfRule>
    <x:cfRule type="expression" dxfId="28" priority="21">
      <x:formula>AND(C6&lt;&gt;"",EDATE(C6,$I$6)-TODAY()&lt;=$K$6*30.4375)</x:formula>
    </x:cfRule>
    <x:cfRule type="expression" dxfId="48" priority="37">
      <x:formula>AND(C6&lt;&gt;"",EDATE(C6,$I$6)-TODAY()&gt;$J$6*30.4375)</x:formula>
    </x:cfRule>
    <x:cfRule type="expression" dxfId="49" priority="38">
      <x:formula>AND(C6&lt;&gt;"",EDATE(C6,$I$6)-TODAY()&gt;$K$6*30.4375,EDATE(C6,$I$6)-TODAY()&lt;=$J$6*30.4375)</x:formula>
    </x:cfRule>
    <x:cfRule type="expression" dxfId="50" priority="39">
      <x:formula>AND(C6&lt;&gt;"",EDATE(C6,$I$6)-TODAY()&lt;=$K$6*30.4375)</x:formula>
    </x:cfRule>
  </x:conditionalFormatting>
  <x:conditionalFormatting sqref="D6:D40">
    <x:cfRule type="expression" dxfId="6" priority="7">
      <x:formula>AND(D6&lt;&gt;"",EDATE(D6,$I$7)-TODAY()&gt;$J$7*30.4375)</x:formula>
    </x:cfRule>
    <x:cfRule type="expression" dxfId="7" priority="8">
      <x:formula>AND(D6&lt;&gt;"",EDATE(D6,$I$7)-TODAY()&gt;$K$7*30.4375,EDATE(D6,$I$7)-TODAY()&lt;=$J$7*30.4375)</x:formula>
    </x:cfRule>
    <x:cfRule type="expression" dxfId="8" priority="9">
      <x:formula>AND(D6&lt;&gt;"",EDATE(D6,$I$7)-TODAY()&lt;=$K$7*30.4375)</x:formula>
    </x:cfRule>
    <x:cfRule type="expression" dxfId="29" priority="22">
      <x:formula>AND(D6&lt;&gt;"",EDATE(D6,$I$7)-TODAY()&gt;$J$7*30.4375)</x:formula>
    </x:cfRule>
    <x:cfRule type="expression" dxfId="30" priority="23">
      <x:formula>AND(D6&lt;&gt;"",EDATE(D6,$I$7)-TODAY()&gt;$K$7*30.4375,EDATE(D6,$I$7)-TODAY()&lt;=$J$7*30.4375)</x:formula>
    </x:cfRule>
    <x:cfRule type="expression" dxfId="31" priority="24">
      <x:formula>AND(D6&lt;&gt;"",EDATE(D6,$I$7)-TODAY()&lt;=$K$7*30.4375)</x:formula>
    </x:cfRule>
    <x:cfRule type="expression" dxfId="51" priority="40">
      <x:formula>AND(D6&lt;&gt;"",EDATE(D6,$I$7)-TODAY()&gt;$J$7*30.4375)</x:formula>
    </x:cfRule>
    <x:cfRule type="expression" dxfId="52" priority="41">
      <x:formula>AND(D6&lt;&gt;"",EDATE(D6,$I$7)-TODAY()&gt;$K$7*30.4375,EDATE(D6,$I$7)-TODAY()&lt;=$J$7*30.4375)</x:formula>
    </x:cfRule>
    <x:cfRule type="expression" dxfId="53" priority="42">
      <x:formula>AND(D6&lt;&gt;"",EDATE(D6,$I$7)-TODAY()&lt;=$K$7*30.4375)</x:formula>
    </x:cfRule>
  </x:conditionalFormatting>
  <x:conditionalFormatting sqref="E6:E40">
    <x:cfRule type="expression" dxfId="9" priority="10">
      <x:formula>AND(E6&lt;&gt;"",EDATE(E6,$I$8)-TODAY()&gt;$J$8*30.4375)</x:formula>
    </x:cfRule>
    <x:cfRule type="expression" dxfId="10" priority="11">
      <x:formula>AND(E6&lt;&gt;"",EDATE(E6,$I$8)-TODAY()&gt;$K$8*30.4375,EDATE(E6,$I$8)-TODAY()&lt;=$J$8*30.4375)</x:formula>
    </x:cfRule>
    <x:cfRule type="expression" dxfId="11" priority="12">
      <x:formula>AND(E6&lt;&gt;"",EDATE(E6,$I$8)-TODAY()&lt;=$K$8*30.4375)</x:formula>
    </x:cfRule>
    <x:cfRule type="expression" dxfId="32" priority="25">
      <x:formula>AND(E6&lt;&gt;"",EDATE(E6,$I$8)-TODAY()&gt;$J$8*30.4375)</x:formula>
    </x:cfRule>
    <x:cfRule type="expression" dxfId="33" priority="26">
      <x:formula>AND(E6&lt;&gt;"",EDATE(E6,$I$8)-TODAY()&gt;$K$8*30.4375,EDATE(E6,$I$8)-TODAY()&lt;=$J$8*30.4375)</x:formula>
    </x:cfRule>
    <x:cfRule type="expression" dxfId="34" priority="27">
      <x:formula>AND(E6&lt;&gt;"",EDATE(E6,$I$8)-TODAY()&lt;=$K$8*30.4375)</x:formula>
    </x:cfRule>
    <x:cfRule type="expression" dxfId="54" priority="43">
      <x:formula>AND(E6&lt;&gt;"",EDATE(E6,$I$8)-TODAY()&gt;$J$8*30.4375)</x:formula>
    </x:cfRule>
    <x:cfRule type="expression" dxfId="55" priority="44">
      <x:formula>AND(E6&lt;&gt;"",EDATE(E6,$I$8)-TODAY()&gt;$K$8*30.4375,EDATE(E6,$I$8)-TODAY()&lt;=$J$8*30.4375)</x:formula>
    </x:cfRule>
    <x:cfRule type="expression" dxfId="56" priority="45">
      <x:formula>AND(E6&lt;&gt;"",EDATE(E6,$I$8)-TODAY()&lt;=$K$8*30.4375)</x:formula>
    </x:cfRule>
  </x:conditionalFormatting>
  <x:conditionalFormatting sqref="F6:F40">
    <x:cfRule type="expression" dxfId="12" priority="13">
      <x:formula>AND(F6&lt;&gt;"",EDATE(F6,$I$9)-TODAY()&gt;$J$9*30.4375)</x:formula>
    </x:cfRule>
    <x:cfRule type="expression" dxfId="13" priority="14">
      <x:formula>AND(F6&lt;&gt;"",EDATE(F6,$I$9)-TODAY()&gt;$K$9*30.4375,EDATE(F6,$I$9)-TODAY()&lt;=$J$9*30.4375)</x:formula>
    </x:cfRule>
    <x:cfRule type="expression" dxfId="14" priority="15">
      <x:formula>AND(F6&lt;&gt;"",EDATE(F6,$I$9)-TODAY()&lt;=$K$9*30.4375)</x:formula>
    </x:cfRule>
    <x:cfRule type="expression" dxfId="35" priority="28">
      <x:formula>AND(F6&lt;&gt;"",EDATE(F6,$I$9)-TODAY()&gt;$J$9*30.4375)</x:formula>
    </x:cfRule>
    <x:cfRule type="expression" dxfId="36" priority="29">
      <x:formula>AND(F6&lt;&gt;"",EDATE(F6,$I$9)-TODAY()&gt;$K$9*30.4375,EDATE(F6,$I$9)-TODAY()&lt;=$J$9*30.4375)</x:formula>
    </x:cfRule>
    <x:cfRule type="expression" dxfId="37" priority="30">
      <x:formula>AND(F6&lt;&gt;"",EDATE(F6,$I$9)-TODAY()&lt;=$K$9*30.4375)</x:formula>
    </x:cfRule>
    <x:cfRule type="expression" dxfId="57" priority="46">
      <x:formula>AND(F6&lt;&gt;"",EDATE(F6,$I$9)-TODAY()&gt;$J$9*30.4375)</x:formula>
    </x:cfRule>
    <x:cfRule type="expression" dxfId="58" priority="47">
      <x:formula>AND(F6&lt;&gt;"",EDATE(F6,$I$9)-TODAY()&gt;$K$9*30.4375,EDATE(F6,$I$9)-TODAY()&lt;=$J$9*30.4375)</x:formula>
    </x:cfRule>
    <x:cfRule type="expression" dxfId="59" priority="48">
      <x:formula>AND(F6&lt;&gt;"",EDATE(F6,$I$9)-TODAY()&lt;=$K$9*30.4375)</x:formula>
    </x:cfRule>
  </x:conditionalFormatting>
  <x:conditionalFormatting sqref="G6:G40">
    <x:cfRule type="expression" dxfId="38" priority="31">
      <x:formula>AND(G6&lt;&gt;"",EDATE(G6,$I$10)-TODAY()&gt;$J$10*30.4375)</x:formula>
    </x:cfRule>
    <x:cfRule type="expression" dxfId="39" priority="32">
      <x:formula>AND(G6&lt;&gt;"",EDATE(G6,$I$10)-TODAY()&gt;$K$10*30.4375,EDATE(G6,$I$10)-TODAY()&lt;=$J$10*30.4375)</x:formula>
    </x:cfRule>
    <x:cfRule type="expression" dxfId="40" priority="33">
      <x:formula>AND(G6&lt;&gt;"",EDATE(G6,$I$10)-TODAY()&lt;=$K$10*30.4375)</x:formula>
    </x:cfRule>
    <x:cfRule type="expression" dxfId="60" priority="49">
      <x:formula>AND(G6&lt;&gt;"",EDATE(G6,$I$10)-TODAY()&gt;$J$10*30.4375)</x:formula>
    </x:cfRule>
    <x:cfRule type="expression" dxfId="61" priority="50">
      <x:formula>AND(G6&lt;&gt;"",EDATE(G6,$I$10)-TODAY()&gt;$K$10*30.4375,EDATE(G6,$I$10)-TODAY()&lt;=$J$10*30.4375)</x:formula>
    </x:cfRule>
    <x:cfRule type="expression" dxfId="62" priority="51">
      <x:formula>AND(G6&lt;&gt;"",EDATE(G6,$I$10)-TODAY()&lt;=$K$10*30.4375)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4abf7bffec4af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0" max="10" width="0.33000001311302185" hidden="0" customWidth="1"/>
    <x:col min="11" max="11" width="0.33000001311302185" hidden="0" customWidth="1"/>
    <x:col min="1" max="1" width="16.670000076293945" hidden="0" customWidth="1"/>
    <x:col min="2" max="2" width="22.780000686645508" hidden="0" customWidth="1"/>
    <x:col min="3" max="3" width="12.220000267028809" hidden="0" customWidth="1"/>
    <x:col min="4" max="4" width="13.329999923706055" hidden="0" customWidth="1"/>
    <x:col min="5" max="5" width="12.220000267028809" hidden="0" customWidth="1"/>
    <x:col min="6" max="6" width="11.670000076293945" hidden="0" customWidth="1"/>
    <x:col min="7" max="7" width="11.109999656677246" hidden="0" customWidth="1"/>
  </x:cols>
  <x:sheetData>
    <x:row r="1" ht="30" customHeight="1">
      <x:c r="A1" s="4" t="str">
        <x:v>Client / Topic Filtered View</x:v>
      </x:c>
      <x:c r="B1" s="4"/>
      <x:c r="C1" s="4"/>
      <x:c r="D1" s="4"/>
      <x:c r="E1" s="4"/>
      <x:c r="F1" s="4"/>
      <x:c r="G1" s="4"/>
      <x:c r="J1" s="101" t="str">
        <x:v>Client List</x:v>
      </x:c>
      <x:c r="K1" s="101" t="str">
        <x:v>Topic List</x:v>
      </x:c>
    </x:row>
    <x:row r="2" ht="28" customHeight="1">
      <x:c r="A2" s="8" t="str">
        <x:v>Use the top dropdowns for one client/content item. Use the master table filters below to select any client, content item, next due date, or status.</x:v>
      </x:c>
      <x:c r="B2" s="8"/>
      <x:c r="C2" s="8"/>
      <x:c r="D2" s="8"/>
      <x:c r="E2" s="8"/>
      <x:c r="F2" s="8"/>
      <x:c r="G2" s="8"/>
      <x:c r="J2" s="101" t="str">
        <x:v>Company X</x:v>
      </x:c>
      <x:c r="K2" s="101" t="str">
        <x:v>Policy #1</x:v>
      </x:c>
    </x:row>
    <x:row r="3">
      <x:c r="J3" s="101" t="str">
        <x:v>Company Y</x:v>
      </x:c>
      <x:c r="K3" s="101" t="str">
        <x:v>Policy #2–7</x:v>
      </x:c>
    </x:row>
    <x:row r="4" ht="28" customHeight="1">
      <x:c r="A4" s="90" t="str">
        <x:v>Client</x:v>
      </x:c>
      <x:c r="B4" s="96" t="str">
        <x:v>Company X</x:v>
      </x:c>
      <x:c r="C4" s="97"/>
      <x:c r="D4" s="90" t="str">
        <x:v>Content Item</x:v>
      </x:c>
      <x:c r="E4" s="96" t="str">
        <x:v>CSIRP Tabletop Completion</x:v>
      </x:c>
      <x:c r="F4" s="100"/>
      <x:c r="G4" s="97"/>
      <x:c r="J4" s="101" t="str">
        <x:v>Company Z</x:v>
      </x:c>
      <x:c r="K4" s="101" t="str">
        <x:v>Annual Review</x:v>
      </x:c>
    </x:row>
    <x:row r="5">
      <x:c r="J5" s="101" t="str">
        <x:v>Organization 4</x:v>
      </x:c>
      <x:c r="K5" s="101" t="str">
        <x:v>CSIRP Tabletop Completion</x:v>
      </x:c>
    </x:row>
    <x:row r="6" ht="36" customHeight="1">
      <x:c r="A6" s="18" t="str">
        <x:v>Client</x:v>
      </x:c>
      <x:c r="B6" s="18" t="str">
        <x:v>Content Item</x:v>
      </x:c>
      <x:c r="C6" s="18" t="str">
        <x:v>Last Completed</x:v>
      </x:c>
      <x:c r="D6" s="18" t="str">
        <x:v>Frequency (Months)</x:v>
      </x:c>
      <x:c r="E6" s="18" t="str">
        <x:v>Next Due</x:v>
      </x:c>
      <x:c r="F6" s="18" t="str">
        <x:v>Days Remaining</x:v>
      </x:c>
      <x:c r="G6" s="18" t="str">
        <x:v>Status</x:v>
      </x:c>
      <x:c r="J6" s="101" t="str">
        <x:v>Organization 5</x:v>
      </x:c>
      <x:c r="K6" s="101" t="str">
        <x:v>RSAW Evidence Tracker</x:v>
      </x:c>
    </x:row>
    <x:row r="7" ht="42" customHeight="1">
      <x:c r="A7" s="107" t="str">
        <x:f>IF($B$4="","",$B$4)</x:f>
        <x:v>Company X</x:v>
      </x:c>
      <x:c r="B7" s="107" t="str">
        <x:f>IF($E$4="","",$E$4)</x:f>
        <x:v>CSIRP Tabletop Completion</x:v>
      </x:c>
      <x:c r="C7" s="108" t="n">
        <x:f>IFERROR(INDEX('Client Overview'!$B$6:$G$40,MATCH($B$4,'Client Overview'!$A$6:$A$40,0),MATCH($E$4,'Client Overview'!$B$5:$G$5,0)),"")</x:f>
        <x:v>45189</x:v>
      </x:c>
      <x:c r="D7" s="109" t="n">
        <x:f>IFERROR(INDEX('Client Overview'!$I$5:$I$10,MATCH($E$4,'Client Overview'!$H$5:$H$10,0)),"")</x:f>
        <x:v>36</x:v>
      </x:c>
      <x:c r="E7" s="108" t="n">
        <x:f>IF(OR(C7="",D7=""),"",EDATE(C7,D7))</x:f>
        <x:v>46285</x:v>
      </x:c>
      <x:c r="F7" s="109" t="n">
        <x:f>IF(E7="","",E7-TODAY())</x:f>
        <x:v>32</x:v>
      </x:c>
      <x:c r="G7" s="107" t="str">
        <x:f>IF(E7="","No Date",IF(F7&lt;=INDEX('Client Overview'!$K$5:$K$10,MATCH($E$4,'Client Overview'!$H$5:$H$10,0))*30.4375,"Red",IF(F7&lt;=INDEX('Client Overview'!$J$5:$J$10,MATCH($E$4,'Client Overview'!$H$5:$H$10,0))*30.4375,"Yellow","Green")))</x:f>
        <x:v>Red</x:v>
      </x:c>
      <x:c r="J7" s="101" t="str">
        <x:v>Organization 6</x:v>
      </x:c>
      <x:c r="K7" s="101" t="str">
        <x:v>CIP Monthly Questions</x:v>
      </x:c>
    </x:row>
    <x:row r="8">
      <x:c r="J8" s="101" t="str">
        <x:v>Organization 7</x:v>
      </x:c>
      <x:c r="K8" s="101"/>
    </x:row>
    <x:row r="9">
      <x:c r="J9" s="101" t="str">
        <x:v>Organization 8</x:v>
      </x:c>
      <x:c r="K9" s="101"/>
    </x:row>
    <x:row r="10" ht="28" customHeight="1">
      <x:c r="A10" s="110" t="str">
        <x:v>Status logic is driven by the editable settings and color key on the Client Overview sheet.</x:v>
      </x:c>
      <x:c r="B10" s="110"/>
      <x:c r="C10" s="110"/>
      <x:c r="D10" s="110"/>
      <x:c r="E10" s="110"/>
      <x:c r="F10" s="110"/>
      <x:c r="G10" s="110"/>
      <x:c r="J10" s="101" t="str">
        <x:v>Organization 9</x:v>
      </x:c>
      <x:c r="K10" s="101"/>
    </x:row>
    <x:row r="11">
      <x:c r="J11" s="101" t="str">
        <x:v>Organization 10</x:v>
      </x:c>
      <x:c r="K11" s="101"/>
    </x:row>
    <x:row r="12" ht="28" customHeight="1">
      <x:c r="A12" s="273" t="str">
        <x:v>Master Schedule — Filter by Client, Content Item, or Due Date</x:v>
      </x:c>
      <x:c r="B12" s="273"/>
      <x:c r="C12" s="273"/>
      <x:c r="D12" s="273"/>
      <x:c r="E12" s="273"/>
      <x:c r="F12" s="273"/>
      <x:c r="G12" s="273"/>
      <x:c r="J12" s="101" t="str">
        <x:v>Organization 11</x:v>
      </x:c>
      <x:c r="K12" s="101"/>
    </x:row>
    <x:row r="13" ht="27" customHeight="1">
      <x:c r="A13" s="278" t="str">
        <x:v>Each filter arrow now sees the full schedule: 35 clients × 6 content items. The Next Due filter supports individual dates and Excel date ranges.</x:v>
      </x:c>
      <x:c r="B13" s="278"/>
      <x:c r="C13" s="278"/>
      <x:c r="D13" s="278"/>
      <x:c r="E13" s="278"/>
      <x:c r="F13" s="278"/>
      <x:c r="G13" s="278"/>
      <x:c r="J13" s="101" t="str">
        <x:v>Organization 12</x:v>
      </x:c>
      <x:c r="K13" s="101"/>
    </x:row>
    <x:row r="14">
      <x:c r="J14" s="101" t="str">
        <x:v>Organization 13</x:v>
      </x:c>
      <x:c r="K14" s="101"/>
    </x:row>
    <x:row r="15" ht="36" customHeight="1">
      <x:c r="A15" s="284" t="str">
        <x:v>Client</x:v>
      </x:c>
      <x:c r="B15" s="284" t="str">
        <x:v>Content Item</x:v>
      </x:c>
      <x:c r="C15" s="284" t="str">
        <x:v>Last Completed</x:v>
      </x:c>
      <x:c r="D15" s="284" t="str">
        <x:v>Frequency (Months)</x:v>
      </x:c>
      <x:c r="E15" s="284" t="str">
        <x:v>Next Due</x:v>
      </x:c>
      <x:c r="F15" s="284" t="str">
        <x:v>Days Remaining</x:v>
      </x:c>
      <x:c r="G15" s="284" t="str">
        <x:v>Status</x:v>
      </x:c>
      <x:c r="J15" s="101" t="str">
        <x:v>Organization 14</x:v>
      </x:c>
      <x:c r="K15" s="101"/>
    </x:row>
    <x:row r="16" ht="22" customHeight="1">
      <x:c r="A16" s="157" t="str">
        <x:f>INDEX('Client Overview'!$A$6:$A$40,INT((ROW()-16)/6)+1)</x:f>
        <x:v>Company X</x:v>
      </x:c>
      <x:c r="B16" s="158" t="str">
        <x:f>INDEX('Client Overview'!$B$5:$G$5,1,MOD(ROW()-16,6)+1)</x:f>
        <x:v>Policy #1</x:v>
      </x:c>
      <x:c r="C16" s="169" t="n">
        <x:f>IFERROR(INDEX('Client Overview'!$B$6:$G$40,MATCH(A16,'Client Overview'!$A$6:$A$40,0),MATCH(B16,'Client Overview'!$B$5:$G$5,0)),"")</x:f>
        <x:v>46037</x:v>
      </x:c>
      <x:c r="D16" s="172" t="n">
        <x:f>IFERROR(INDEX('Client Overview'!$I$5:$I$10,MATCH(B16,'Client Overview'!$H$5:$H$10,0)),"")</x:f>
        <x:v>15</x:v>
      </x:c>
      <x:c r="E16" s="169" t="n">
        <x:f>IF(OR(C16="",D16=""),"",EDATE(C16,D16))</x:f>
        <x:v>46492</x:v>
      </x:c>
      <x:c r="F16" s="172" t="n">
        <x:f>IF(E16="","",E16-TODAY())</x:f>
        <x:v>239</x:v>
      </x:c>
      <x:c r="G16" s="164" t="str">
        <x:f>IF(E16="","No Date",IF(F16&lt;=INDEX('Client Overview'!$K$5:$K$10,MATCH(B16,'Client Overview'!$H$5:$H$10,0))*30.4375,"Red",IF(F16&lt;=INDEX('Client Overview'!$J$5:$J$10,MATCH(B16,'Client Overview'!$H$5:$H$10,0))*30.4375,"Yellow","Green")))</x:f>
        <x:v>Green</x:v>
      </x:c>
      <x:c r="J16" s="101" t="str">
        <x:v>Organization 15</x:v>
      </x:c>
      <x:c r="K16" s="101"/>
    </x:row>
    <x:row r="17" ht="22" customHeight="1">
      <x:c r="A17" s="159" t="str">
        <x:f>INDEX('Client Overview'!$A$6:$A$40,INT((ROW()-16)/6)+1)</x:f>
        <x:v>Company X</x:v>
      </x:c>
      <x:c r="B17" s="160" t="str">
        <x:f>INDEX('Client Overview'!$B$5:$G$5,1,MOD(ROW()-16,6)+1)</x:f>
        <x:v>Policy #2–7</x:v>
      </x:c>
      <x:c r="C17" s="170" t="n">
        <x:f>IFERROR(INDEX('Client Overview'!$B$6:$G$40,MATCH(A17,'Client Overview'!$A$6:$A$40,0),MATCH(B17,'Client Overview'!$B$5:$G$5,0)),"")</x:f>
        <x:v>46037</x:v>
      </x:c>
      <x:c r="D17" s="173" t="n">
        <x:f>IFERROR(INDEX('Client Overview'!$I$5:$I$10,MATCH(B17,'Client Overview'!$H$5:$H$10,0)),"")</x:f>
        <x:v>15</x:v>
      </x:c>
      <x:c r="E17" s="170" t="n">
        <x:f>IF(OR(C17="",D17=""),"",EDATE(C17,D17))</x:f>
        <x:v>46492</x:v>
      </x:c>
      <x:c r="F17" s="173" t="n">
        <x:f>IF(E17="","",E17-TODAY())</x:f>
        <x:v>239</x:v>
      </x:c>
      <x:c r="G17" s="166" t="str">
        <x:f>IF(E17="","No Date",IF(F17&lt;=INDEX('Client Overview'!$K$5:$K$10,MATCH(B17,'Client Overview'!$H$5:$H$10,0))*30.4375,"Red",IF(F17&lt;=INDEX('Client Overview'!$J$5:$J$10,MATCH(B17,'Client Overview'!$H$5:$H$10,0))*30.4375,"Yellow","Green")))</x:f>
        <x:v>Green</x:v>
      </x:c>
      <x:c r="J17" s="101" t="str">
        <x:v>Organization 16</x:v>
      </x:c>
      <x:c r="K17" s="101"/>
    </x:row>
    <x:row r="18" ht="22" customHeight="1">
      <x:c r="A18" s="159" t="str">
        <x:f>INDEX('Client Overview'!$A$6:$A$40,INT((ROW()-16)/6)+1)</x:f>
        <x:v>Company X</x:v>
      </x:c>
      <x:c r="B18" s="160" t="str">
        <x:f>INDEX('Client Overview'!$B$5:$G$5,1,MOD(ROW()-16,6)+1)</x:f>
        <x:v>Annual Review</x:v>
      </x:c>
      <x:c r="C18" s="170" t="n">
        <x:f>IFERROR(INDEX('Client Overview'!$B$6:$G$40,MATCH(A18,'Client Overview'!$A$6:$A$40,0),MATCH(B18,'Client Overview'!$B$5:$G$5,0)),"")</x:f>
        <x:v>46037</x:v>
      </x:c>
      <x:c r="D18" s="173" t="n">
        <x:f>IFERROR(INDEX('Client Overview'!$I$5:$I$10,MATCH(B18,'Client Overview'!$H$5:$H$10,0)),"")</x:f>
        <x:v>15</x:v>
      </x:c>
      <x:c r="E18" s="170" t="n">
        <x:f>IF(OR(C18="",D18=""),"",EDATE(C18,D18))</x:f>
        <x:v>46492</x:v>
      </x:c>
      <x:c r="F18" s="173" t="n">
        <x:f>IF(E18="","",E18-TODAY())</x:f>
        <x:v>239</x:v>
      </x:c>
      <x:c r="G18" s="166" t="str">
        <x:f>IF(E18="","No Date",IF(F18&lt;=INDEX('Client Overview'!$K$5:$K$10,MATCH(B18,'Client Overview'!$H$5:$H$10,0))*30.4375,"Red",IF(F18&lt;=INDEX('Client Overview'!$J$5:$J$10,MATCH(B18,'Client Overview'!$H$5:$H$10,0))*30.4375,"Yellow","Green")))</x:f>
        <x:v>Green</x:v>
      </x:c>
      <x:c r="J18" s="101" t="str">
        <x:v>Organization 17</x:v>
      </x:c>
      <x:c r="K18" s="101"/>
    </x:row>
    <x:row r="19" ht="22" customHeight="1">
      <x:c r="A19" s="159" t="str">
        <x:f>INDEX('Client Overview'!$A$6:$A$40,INT((ROW()-16)/6)+1)</x:f>
        <x:v>Company X</x:v>
      </x:c>
      <x:c r="B19" s="160" t="str">
        <x:f>INDEX('Client Overview'!$B$5:$G$5,1,MOD(ROW()-16,6)+1)</x:f>
        <x:v>CSIRP Tabletop Completion</x:v>
      </x:c>
      <x:c r="C19" s="170" t="n">
        <x:f>IFERROR(INDEX('Client Overview'!$B$6:$G$40,MATCH(A19,'Client Overview'!$A$6:$A$40,0),MATCH(B19,'Client Overview'!$B$5:$G$5,0)),"")</x:f>
        <x:v>45189</x:v>
      </x:c>
      <x:c r="D19" s="173" t="n">
        <x:f>IFERROR(INDEX('Client Overview'!$I$5:$I$10,MATCH(B19,'Client Overview'!$H$5:$H$10,0)),"")</x:f>
        <x:v>36</x:v>
      </x:c>
      <x:c r="E19" s="170" t="n">
        <x:f>IF(OR(C19="",D19=""),"",EDATE(C19,D19))</x:f>
        <x:v>46285</x:v>
      </x:c>
      <x:c r="F19" s="173" t="n">
        <x:f>IF(E19="","",E19-TODAY())</x:f>
        <x:v>32</x:v>
      </x:c>
      <x:c r="G19" s="166" t="str">
        <x:f>IF(E19="","No Date",IF(F19&lt;=INDEX('Client Overview'!$K$5:$K$10,MATCH(B19,'Client Overview'!$H$5:$H$10,0))*30.4375,"Red",IF(F19&lt;=INDEX('Client Overview'!$J$5:$J$10,MATCH(B19,'Client Overview'!$H$5:$H$10,0))*30.4375,"Yellow","Green")))</x:f>
        <x:v>Red</x:v>
      </x:c>
      <x:c r="J19" s="101" t="str">
        <x:v>Organization 18</x:v>
      </x:c>
      <x:c r="K19" s="101"/>
    </x:row>
    <x:row r="20" ht="22" customHeight="1">
      <x:c r="A20" s="159" t="str">
        <x:f>INDEX('Client Overview'!$A$6:$A$40,INT((ROW()-16)/6)+1)</x:f>
        <x:v>Company X</x:v>
      </x:c>
      <x:c r="B20" s="160" t="str">
        <x:f>INDEX('Client Overview'!$B$5:$G$5,1,MOD(ROW()-16,6)+1)</x:f>
        <x:v>RSAW Evidence Tracker</x:v>
      </x:c>
      <x:c r="C20" s="170" t="n">
        <x:f>IFERROR(INDEX('Client Overview'!$B$6:$G$40,MATCH(A20,'Client Overview'!$A$6:$A$40,0),MATCH(B20,'Client Overview'!$B$5:$G$5,0)),"")</x:f>
        <x:v>46174</x:v>
      </x:c>
      <x:c r="D20" s="173" t="n">
        <x:f>IFERROR(INDEX('Client Overview'!$I$5:$I$10,MATCH(B20,'Client Overview'!$H$5:$H$10,0)),"")</x:f>
        <x:v>12</x:v>
      </x:c>
      <x:c r="E20" s="170" t="n">
        <x:f>IF(OR(C20="",D20=""),"",EDATE(C20,D20))</x:f>
        <x:v>46539</x:v>
      </x:c>
      <x:c r="F20" s="173" t="n">
        <x:f>IF(E20="","",E20-TODAY())</x:f>
        <x:v>286</x:v>
      </x:c>
      <x:c r="G20" s="166" t="str">
        <x:f>IF(E20="","No Date",IF(F20&lt;=INDEX('Client Overview'!$K$5:$K$10,MATCH(B20,'Client Overview'!$H$5:$H$10,0))*30.4375,"Red",IF(F20&lt;=INDEX('Client Overview'!$J$5:$J$10,MATCH(B20,'Client Overview'!$H$5:$H$10,0))*30.4375,"Yellow","Green")))</x:f>
        <x:v>Green</x:v>
      </x:c>
      <x:c r="J20" s="101" t="str">
        <x:v>Organization 19</x:v>
      </x:c>
      <x:c r="K20" s="101"/>
    </x:row>
    <x:row r="21" ht="22" customHeight="1">
      <x:c r="A21" s="159" t="str">
        <x:f>INDEX('Client Overview'!$A$6:$A$40,INT((ROW()-16)/6)+1)</x:f>
        <x:v>Company X</x:v>
      </x:c>
      <x:c r="B21" s="160" t="str">
        <x:f>INDEX('Client Overview'!$B$5:$G$5,1,MOD(ROW()-16,6)+1)</x:f>
        <x:v>CIP Monthly Questions</x:v>
      </x:c>
      <x:c r="C21" s="170" t="str">
        <x:f>IFERROR(INDEX('Client Overview'!$B$6:$G$40,MATCH(A21,'Client Overview'!$A$6:$A$40,0),MATCH(B21,'Client Overview'!$B$5:$G$5,0)),"")</x:f>
      </x:c>
      <x:c r="D21" s="173" t="n">
        <x:f>IFERROR(INDEX('Client Overview'!$I$5:$I$10,MATCH(B21,'Client Overview'!$H$5:$H$10,0)),"")</x:f>
        <x:v>1</x:v>
      </x:c>
      <x:c r="E21" s="170" t="str">
        <x:f>IF(OR(C21="",D21=""),"",EDATE(C21,D21))</x:f>
      </x:c>
      <x:c r="F21" s="173" t="str">
        <x:f>IF(E21="","",E21-TODAY())</x:f>
      </x:c>
      <x:c r="G21" s="166" t="str">
        <x:f>IF(E21="","No Date",IF(F21&lt;=INDEX('Client Overview'!$K$5:$K$10,MATCH(B21,'Client Overview'!$H$5:$H$10,0))*30.4375,"Red",IF(F21&lt;=INDEX('Client Overview'!$J$5:$J$10,MATCH(B21,'Client Overview'!$H$5:$H$10,0))*30.4375,"Yellow","Green")))</x:f>
        <x:v>No Date</x:v>
      </x:c>
      <x:c r="J21" s="101" t="str">
        <x:v>Organization 20</x:v>
      </x:c>
      <x:c r="K21" s="101"/>
    </x:row>
    <x:row r="22" ht="22" customHeight="1">
      <x:c r="A22" s="159" t="str">
        <x:f>INDEX('Client Overview'!$A$6:$A$40,INT((ROW()-16)/6)+1)</x:f>
        <x:v>Company Y</x:v>
      </x:c>
      <x:c r="B22" s="160" t="str">
        <x:f>INDEX('Client Overview'!$B$5:$G$5,1,MOD(ROW()-16,6)+1)</x:f>
        <x:v>Policy #1</x:v>
      </x:c>
      <x:c r="C22" s="170" t="n">
        <x:f>IFERROR(INDEX('Client Overview'!$B$6:$G$40,MATCH(A22,'Client Overview'!$A$6:$A$40,0),MATCH(B22,'Client Overview'!$B$5:$G$5,0)),"")</x:f>
        <x:v>46037</x:v>
      </x:c>
      <x:c r="D22" s="173" t="n">
        <x:f>IFERROR(INDEX('Client Overview'!$I$5:$I$10,MATCH(B22,'Client Overview'!$H$5:$H$10,0)),"")</x:f>
        <x:v>15</x:v>
      </x:c>
      <x:c r="E22" s="170" t="n">
        <x:f>IF(OR(C22="",D22=""),"",EDATE(C22,D22))</x:f>
        <x:v>46492</x:v>
      </x:c>
      <x:c r="F22" s="173" t="n">
        <x:f>IF(E22="","",E22-TODAY())</x:f>
        <x:v>239</x:v>
      </x:c>
      <x:c r="G22" s="166" t="str">
        <x:f>IF(E22="","No Date",IF(F22&lt;=INDEX('Client Overview'!$K$5:$K$10,MATCH(B22,'Client Overview'!$H$5:$H$10,0))*30.4375,"Red",IF(F22&lt;=INDEX('Client Overview'!$J$5:$J$10,MATCH(B22,'Client Overview'!$H$5:$H$10,0))*30.4375,"Yellow","Green")))</x:f>
        <x:v>Green</x:v>
      </x:c>
      <x:c r="J22" s="101" t="str">
        <x:v>Organization 21</x:v>
      </x:c>
      <x:c r="K22" s="101"/>
    </x:row>
    <x:row r="23" ht="22" customHeight="1">
      <x:c r="A23" s="159" t="str">
        <x:f>INDEX('Client Overview'!$A$6:$A$40,INT((ROW()-16)/6)+1)</x:f>
        <x:v>Company Y</x:v>
      </x:c>
      <x:c r="B23" s="160" t="str">
        <x:f>INDEX('Client Overview'!$B$5:$G$5,1,MOD(ROW()-16,6)+1)</x:f>
        <x:v>Policy #2–7</x:v>
      </x:c>
      <x:c r="C23" s="170" t="n">
        <x:f>IFERROR(INDEX('Client Overview'!$B$6:$G$40,MATCH(A23,'Client Overview'!$A$6:$A$40,0),MATCH(B23,'Client Overview'!$B$5:$G$5,0)),"")</x:f>
        <x:v>46037</x:v>
      </x:c>
      <x:c r="D23" s="173" t="n">
        <x:f>IFERROR(INDEX('Client Overview'!$I$5:$I$10,MATCH(B23,'Client Overview'!$H$5:$H$10,0)),"")</x:f>
        <x:v>15</x:v>
      </x:c>
      <x:c r="E23" s="170" t="n">
        <x:f>IF(OR(C23="",D23=""),"",EDATE(C23,D23))</x:f>
        <x:v>46492</x:v>
      </x:c>
      <x:c r="F23" s="173" t="n">
        <x:f>IF(E23="","",E23-TODAY())</x:f>
        <x:v>239</x:v>
      </x:c>
      <x:c r="G23" s="166" t="str">
        <x:f>IF(E23="","No Date",IF(F23&lt;=INDEX('Client Overview'!$K$5:$K$10,MATCH(B23,'Client Overview'!$H$5:$H$10,0))*30.4375,"Red",IF(F23&lt;=INDEX('Client Overview'!$J$5:$J$10,MATCH(B23,'Client Overview'!$H$5:$H$10,0))*30.4375,"Yellow","Green")))</x:f>
        <x:v>Green</x:v>
      </x:c>
      <x:c r="J23" s="101" t="str">
        <x:v>Organization 22</x:v>
      </x:c>
      <x:c r="K23" s="101"/>
    </x:row>
    <x:row r="24" ht="22" customHeight="1">
      <x:c r="A24" s="159" t="str">
        <x:f>INDEX('Client Overview'!$A$6:$A$40,INT((ROW()-16)/6)+1)</x:f>
        <x:v>Company Y</x:v>
      </x:c>
      <x:c r="B24" s="160" t="str">
        <x:f>INDEX('Client Overview'!$B$5:$G$5,1,MOD(ROW()-16,6)+1)</x:f>
        <x:v>Annual Review</x:v>
      </x:c>
      <x:c r="C24" s="170" t="n">
        <x:f>IFERROR(INDEX('Client Overview'!$B$6:$G$40,MATCH(A24,'Client Overview'!$A$6:$A$40,0),MATCH(B24,'Client Overview'!$B$5:$G$5,0)),"")</x:f>
        <x:v>46037</x:v>
      </x:c>
      <x:c r="D24" s="173" t="n">
        <x:f>IFERROR(INDEX('Client Overview'!$I$5:$I$10,MATCH(B24,'Client Overview'!$H$5:$H$10,0)),"")</x:f>
        <x:v>15</x:v>
      </x:c>
      <x:c r="E24" s="170" t="n">
        <x:f>IF(OR(C24="",D24=""),"",EDATE(C24,D24))</x:f>
        <x:v>46492</x:v>
      </x:c>
      <x:c r="F24" s="173" t="n">
        <x:f>IF(E24="","",E24-TODAY())</x:f>
        <x:v>239</x:v>
      </x:c>
      <x:c r="G24" s="166" t="str">
        <x:f>IF(E24="","No Date",IF(F24&lt;=INDEX('Client Overview'!$K$5:$K$10,MATCH(B24,'Client Overview'!$H$5:$H$10,0))*30.4375,"Red",IF(F24&lt;=INDEX('Client Overview'!$J$5:$J$10,MATCH(B24,'Client Overview'!$H$5:$H$10,0))*30.4375,"Yellow","Green")))</x:f>
        <x:v>Green</x:v>
      </x:c>
      <x:c r="J24" s="101" t="str">
        <x:v>Organization 23</x:v>
      </x:c>
      <x:c r="K24" s="101"/>
    </x:row>
    <x:row r="25" ht="22" customHeight="1">
      <x:c r="A25" s="159" t="str">
        <x:f>INDEX('Client Overview'!$A$6:$A$40,INT((ROW()-16)/6)+1)</x:f>
        <x:v>Company Y</x:v>
      </x:c>
      <x:c r="B25" s="160" t="str">
        <x:f>INDEX('Client Overview'!$B$5:$G$5,1,MOD(ROW()-16,6)+1)</x:f>
        <x:v>CSIRP Tabletop Completion</x:v>
      </x:c>
      <x:c r="C25" s="170" t="n">
        <x:f>IFERROR(INDEX('Client Overview'!$B$6:$G$40,MATCH(A25,'Client Overview'!$A$6:$A$40,0),MATCH(B25,'Client Overview'!$B$5:$G$5,0)),"")</x:f>
        <x:v>45214</x:v>
      </x:c>
      <x:c r="D25" s="173" t="n">
        <x:f>IFERROR(INDEX('Client Overview'!$I$5:$I$10,MATCH(B25,'Client Overview'!$H$5:$H$10,0)),"")</x:f>
        <x:v>36</x:v>
      </x:c>
      <x:c r="E25" s="170" t="n">
        <x:f>IF(OR(C25="",D25=""),"",EDATE(C25,D25))</x:f>
        <x:v>46310</x:v>
      </x:c>
      <x:c r="F25" s="173" t="n">
        <x:f>IF(E25="","",E25-TODAY())</x:f>
        <x:v>57</x:v>
      </x:c>
      <x:c r="G25" s="166" t="str">
        <x:f>IF(E25="","No Date",IF(F25&lt;=INDEX('Client Overview'!$K$5:$K$10,MATCH(B25,'Client Overview'!$H$5:$H$10,0))*30.4375,"Red",IF(F25&lt;=INDEX('Client Overview'!$J$5:$J$10,MATCH(B25,'Client Overview'!$H$5:$H$10,0))*30.4375,"Yellow","Green")))</x:f>
        <x:v>Red</x:v>
      </x:c>
      <x:c r="J25" s="101" t="str">
        <x:v>Organization 24</x:v>
      </x:c>
      <x:c r="K25" s="101"/>
    </x:row>
    <x:row r="26" ht="22" customHeight="1">
      <x:c r="A26" s="159" t="str">
        <x:f>INDEX('Client Overview'!$A$6:$A$40,INT((ROW()-16)/6)+1)</x:f>
        <x:v>Company Y</x:v>
      </x:c>
      <x:c r="B26" s="160" t="str">
        <x:f>INDEX('Client Overview'!$B$5:$G$5,1,MOD(ROW()-16,6)+1)</x:f>
        <x:v>RSAW Evidence Tracker</x:v>
      </x:c>
      <x:c r="C26" s="170" t="n">
        <x:f>IFERROR(INDEX('Client Overview'!$B$6:$G$40,MATCH(A26,'Client Overview'!$A$6:$A$40,0),MATCH(B26,'Client Overview'!$B$5:$G$5,0)),"")</x:f>
        <x:v>46174</x:v>
      </x:c>
      <x:c r="D26" s="173" t="n">
        <x:f>IFERROR(INDEX('Client Overview'!$I$5:$I$10,MATCH(B26,'Client Overview'!$H$5:$H$10,0)),"")</x:f>
        <x:v>12</x:v>
      </x:c>
      <x:c r="E26" s="170" t="n">
        <x:f>IF(OR(C26="",D26=""),"",EDATE(C26,D26))</x:f>
        <x:v>46539</x:v>
      </x:c>
      <x:c r="F26" s="173" t="n">
        <x:f>IF(E26="","",E26-TODAY())</x:f>
        <x:v>286</x:v>
      </x:c>
      <x:c r="G26" s="166" t="str">
        <x:f>IF(E26="","No Date",IF(F26&lt;=INDEX('Client Overview'!$K$5:$K$10,MATCH(B26,'Client Overview'!$H$5:$H$10,0))*30.4375,"Red",IF(F26&lt;=INDEX('Client Overview'!$J$5:$J$10,MATCH(B26,'Client Overview'!$H$5:$H$10,0))*30.4375,"Yellow","Green")))</x:f>
        <x:v>Green</x:v>
      </x:c>
      <x:c r="J26" s="101" t="str">
        <x:v>Organization 25</x:v>
      </x:c>
      <x:c r="K26" s="101"/>
    </x:row>
    <x:row r="27" ht="22" customHeight="1">
      <x:c r="A27" s="159" t="str">
        <x:f>INDEX('Client Overview'!$A$6:$A$40,INT((ROW()-16)/6)+1)</x:f>
        <x:v>Company Y</x:v>
      </x:c>
      <x:c r="B27" s="160" t="str">
        <x:f>INDEX('Client Overview'!$B$5:$G$5,1,MOD(ROW()-16,6)+1)</x:f>
        <x:v>CIP Monthly Questions</x:v>
      </x:c>
      <x:c r="C27" s="170" t="str">
        <x:f>IFERROR(INDEX('Client Overview'!$B$6:$G$40,MATCH(A27,'Client Overview'!$A$6:$A$40,0),MATCH(B27,'Client Overview'!$B$5:$G$5,0)),"")</x:f>
      </x:c>
      <x:c r="D27" s="173" t="n">
        <x:f>IFERROR(INDEX('Client Overview'!$I$5:$I$10,MATCH(B27,'Client Overview'!$H$5:$H$10,0)),"")</x:f>
        <x:v>1</x:v>
      </x:c>
      <x:c r="E27" s="170" t="str">
        <x:f>IF(OR(C27="",D27=""),"",EDATE(C27,D27))</x:f>
      </x:c>
      <x:c r="F27" s="173" t="str">
        <x:f>IF(E27="","",E27-TODAY())</x:f>
      </x:c>
      <x:c r="G27" s="166" t="str">
        <x:f>IF(E27="","No Date",IF(F27&lt;=INDEX('Client Overview'!$K$5:$K$10,MATCH(B27,'Client Overview'!$H$5:$H$10,0))*30.4375,"Red",IF(F27&lt;=INDEX('Client Overview'!$J$5:$J$10,MATCH(B27,'Client Overview'!$H$5:$H$10,0))*30.4375,"Yellow","Green")))</x:f>
        <x:v>No Date</x:v>
      </x:c>
      <x:c r="J27" s="101" t="str">
        <x:v>Organization 26</x:v>
      </x:c>
      <x:c r="K27" s="101"/>
    </x:row>
    <x:row r="28" ht="22" customHeight="1">
      <x:c r="A28" s="159" t="str">
        <x:f>INDEX('Client Overview'!$A$6:$A$40,INT((ROW()-16)/6)+1)</x:f>
        <x:v>Company Z</x:v>
      </x:c>
      <x:c r="B28" s="160" t="str">
        <x:f>INDEX('Client Overview'!$B$5:$G$5,1,MOD(ROW()-16,6)+1)</x:f>
        <x:v>Policy #1</x:v>
      </x:c>
      <x:c r="C28" s="170" t="n">
        <x:f>IFERROR(INDEX('Client Overview'!$B$6:$G$40,MATCH(A28,'Client Overview'!$A$6:$A$40,0),MATCH(B28,'Client Overview'!$B$5:$G$5,0)),"")</x:f>
        <x:v>46037</x:v>
      </x:c>
      <x:c r="D28" s="173" t="n">
        <x:f>IFERROR(INDEX('Client Overview'!$I$5:$I$10,MATCH(B28,'Client Overview'!$H$5:$H$10,0)),"")</x:f>
        <x:v>15</x:v>
      </x:c>
      <x:c r="E28" s="170" t="n">
        <x:f>IF(OR(C28="",D28=""),"",EDATE(C28,D28))</x:f>
        <x:v>46492</x:v>
      </x:c>
      <x:c r="F28" s="173" t="n">
        <x:f>IF(E28="","",E28-TODAY())</x:f>
        <x:v>239</x:v>
      </x:c>
      <x:c r="G28" s="166" t="str">
        <x:f>IF(E28="","No Date",IF(F28&lt;=INDEX('Client Overview'!$K$5:$K$10,MATCH(B28,'Client Overview'!$H$5:$H$10,0))*30.4375,"Red",IF(F28&lt;=INDEX('Client Overview'!$J$5:$J$10,MATCH(B28,'Client Overview'!$H$5:$H$10,0))*30.4375,"Yellow","Green")))</x:f>
        <x:v>Green</x:v>
      </x:c>
      <x:c r="J28" s="101" t="str">
        <x:v>Organization 27</x:v>
      </x:c>
      <x:c r="K28" s="101"/>
    </x:row>
    <x:row r="29" ht="22" customHeight="1">
      <x:c r="A29" s="159" t="str">
        <x:f>INDEX('Client Overview'!$A$6:$A$40,INT((ROW()-16)/6)+1)</x:f>
        <x:v>Company Z</x:v>
      </x:c>
      <x:c r="B29" s="160" t="str">
        <x:f>INDEX('Client Overview'!$B$5:$G$5,1,MOD(ROW()-16,6)+1)</x:f>
        <x:v>Policy #2–7</x:v>
      </x:c>
      <x:c r="C29" s="170" t="n">
        <x:f>IFERROR(INDEX('Client Overview'!$B$6:$G$40,MATCH(A29,'Client Overview'!$A$6:$A$40,0),MATCH(B29,'Client Overview'!$B$5:$G$5,0)),"")</x:f>
        <x:v>46037</x:v>
      </x:c>
      <x:c r="D29" s="173" t="n">
        <x:f>IFERROR(INDEX('Client Overview'!$I$5:$I$10,MATCH(B29,'Client Overview'!$H$5:$H$10,0)),"")</x:f>
        <x:v>15</x:v>
      </x:c>
      <x:c r="E29" s="170" t="n">
        <x:f>IF(OR(C29="",D29=""),"",EDATE(C29,D29))</x:f>
        <x:v>46492</x:v>
      </x:c>
      <x:c r="F29" s="173" t="n">
        <x:f>IF(E29="","",E29-TODAY())</x:f>
        <x:v>239</x:v>
      </x:c>
      <x:c r="G29" s="166" t="str">
        <x:f>IF(E29="","No Date",IF(F29&lt;=INDEX('Client Overview'!$K$5:$K$10,MATCH(B29,'Client Overview'!$H$5:$H$10,0))*30.4375,"Red",IF(F29&lt;=INDEX('Client Overview'!$J$5:$J$10,MATCH(B29,'Client Overview'!$H$5:$H$10,0))*30.4375,"Yellow","Green")))</x:f>
        <x:v>Green</x:v>
      </x:c>
      <x:c r="J29" s="101" t="str">
        <x:v>Organization 28</x:v>
      </x:c>
      <x:c r="K29" s="101"/>
    </x:row>
    <x:row r="30" ht="22" customHeight="1">
      <x:c r="A30" s="159" t="str">
        <x:f>INDEX('Client Overview'!$A$6:$A$40,INT((ROW()-16)/6)+1)</x:f>
        <x:v>Company Z</x:v>
      </x:c>
      <x:c r="B30" s="160" t="str">
        <x:f>INDEX('Client Overview'!$B$5:$G$5,1,MOD(ROW()-16,6)+1)</x:f>
        <x:v>Annual Review</x:v>
      </x:c>
      <x:c r="C30" s="170" t="n">
        <x:f>IFERROR(INDEX('Client Overview'!$B$6:$G$40,MATCH(A30,'Client Overview'!$A$6:$A$40,0),MATCH(B30,'Client Overview'!$B$5:$G$5,0)),"")</x:f>
        <x:v>46037</x:v>
      </x:c>
      <x:c r="D30" s="173" t="n">
        <x:f>IFERROR(INDEX('Client Overview'!$I$5:$I$10,MATCH(B30,'Client Overview'!$H$5:$H$10,0)),"")</x:f>
        <x:v>15</x:v>
      </x:c>
      <x:c r="E30" s="170" t="n">
        <x:f>IF(OR(C30="",D30=""),"",EDATE(C30,D30))</x:f>
        <x:v>46492</x:v>
      </x:c>
      <x:c r="F30" s="173" t="n">
        <x:f>IF(E30="","",E30-TODAY())</x:f>
        <x:v>239</x:v>
      </x:c>
      <x:c r="G30" s="166" t="str">
        <x:f>IF(E30="","No Date",IF(F30&lt;=INDEX('Client Overview'!$K$5:$K$10,MATCH(B30,'Client Overview'!$H$5:$H$10,0))*30.4375,"Red",IF(F30&lt;=INDEX('Client Overview'!$J$5:$J$10,MATCH(B30,'Client Overview'!$H$5:$H$10,0))*30.4375,"Yellow","Green")))</x:f>
        <x:v>Green</x:v>
      </x:c>
      <x:c r="J30" s="101" t="str">
        <x:v>Organization 29</x:v>
      </x:c>
      <x:c r="K30" s="101"/>
    </x:row>
    <x:row r="31" ht="22" customHeight="1">
      <x:c r="A31" s="159" t="str">
        <x:f>INDEX('Client Overview'!$A$6:$A$40,INT((ROW()-16)/6)+1)</x:f>
        <x:v>Company Z</x:v>
      </x:c>
      <x:c r="B31" s="160" t="str">
        <x:f>INDEX('Client Overview'!$B$5:$G$5,1,MOD(ROW()-16,6)+1)</x:f>
        <x:v>CSIRP Tabletop Completion</x:v>
      </x:c>
      <x:c r="C31" s="170" t="n">
        <x:f>IFERROR(INDEX('Client Overview'!$B$6:$G$40,MATCH(A31,'Client Overview'!$A$6:$A$40,0),MATCH(B31,'Client Overview'!$B$5:$G$5,0)),"")</x:f>
        <x:v>45214</x:v>
      </x:c>
      <x:c r="D31" s="173" t="n">
        <x:f>IFERROR(INDEX('Client Overview'!$I$5:$I$10,MATCH(B31,'Client Overview'!$H$5:$H$10,0)),"")</x:f>
        <x:v>36</x:v>
      </x:c>
      <x:c r="E31" s="170" t="n">
        <x:f>IF(OR(C31="",D31=""),"",EDATE(C31,D31))</x:f>
        <x:v>46310</x:v>
      </x:c>
      <x:c r="F31" s="173" t="n">
        <x:f>IF(E31="","",E31-TODAY())</x:f>
        <x:v>57</x:v>
      </x:c>
      <x:c r="G31" s="166" t="str">
        <x:f>IF(E31="","No Date",IF(F31&lt;=INDEX('Client Overview'!$K$5:$K$10,MATCH(B31,'Client Overview'!$H$5:$H$10,0))*30.4375,"Red",IF(F31&lt;=INDEX('Client Overview'!$J$5:$J$10,MATCH(B31,'Client Overview'!$H$5:$H$10,0))*30.4375,"Yellow","Green")))</x:f>
        <x:v>Red</x:v>
      </x:c>
      <x:c r="J31" s="101" t="str">
        <x:v>Organization 30</x:v>
      </x:c>
      <x:c r="K31" s="101"/>
    </x:row>
    <x:row r="32" ht="22" customHeight="1">
      <x:c r="A32" s="159" t="str">
        <x:f>INDEX('Client Overview'!$A$6:$A$40,INT((ROW()-16)/6)+1)</x:f>
        <x:v>Company Z</x:v>
      </x:c>
      <x:c r="B32" s="160" t="str">
        <x:f>INDEX('Client Overview'!$B$5:$G$5,1,MOD(ROW()-16,6)+1)</x:f>
        <x:v>RSAW Evidence Tracker</x:v>
      </x:c>
      <x:c r="C32" s="170" t="n">
        <x:f>IFERROR(INDEX('Client Overview'!$B$6:$G$40,MATCH(A32,'Client Overview'!$A$6:$A$40,0),MATCH(B32,'Client Overview'!$B$5:$G$5,0)),"")</x:f>
        <x:v>46174</x:v>
      </x:c>
      <x:c r="D32" s="173" t="n">
        <x:f>IFERROR(INDEX('Client Overview'!$I$5:$I$10,MATCH(B32,'Client Overview'!$H$5:$H$10,0)),"")</x:f>
        <x:v>12</x:v>
      </x:c>
      <x:c r="E32" s="170" t="n">
        <x:f>IF(OR(C32="",D32=""),"",EDATE(C32,D32))</x:f>
        <x:v>46539</x:v>
      </x:c>
      <x:c r="F32" s="173" t="n">
        <x:f>IF(E32="","",E32-TODAY())</x:f>
        <x:v>286</x:v>
      </x:c>
      <x:c r="G32" s="166" t="str">
        <x:f>IF(E32="","No Date",IF(F32&lt;=INDEX('Client Overview'!$K$5:$K$10,MATCH(B32,'Client Overview'!$H$5:$H$10,0))*30.4375,"Red",IF(F32&lt;=INDEX('Client Overview'!$J$5:$J$10,MATCH(B32,'Client Overview'!$H$5:$H$10,0))*30.4375,"Yellow","Green")))</x:f>
        <x:v>Green</x:v>
      </x:c>
      <x:c r="J32" s="101" t="str">
        <x:v>Organization 31</x:v>
      </x:c>
      <x:c r="K32" s="101"/>
    </x:row>
    <x:row r="33" ht="22" customHeight="1">
      <x:c r="A33" s="159" t="str">
        <x:f>INDEX('Client Overview'!$A$6:$A$40,INT((ROW()-16)/6)+1)</x:f>
        <x:v>Company Z</x:v>
      </x:c>
      <x:c r="B33" s="160" t="str">
        <x:f>INDEX('Client Overview'!$B$5:$G$5,1,MOD(ROW()-16,6)+1)</x:f>
        <x:v>CIP Monthly Questions</x:v>
      </x:c>
      <x:c r="C33" s="170" t="str">
        <x:f>IFERROR(INDEX('Client Overview'!$B$6:$G$40,MATCH(A33,'Client Overview'!$A$6:$A$40,0),MATCH(B33,'Client Overview'!$B$5:$G$5,0)),"")</x:f>
      </x:c>
      <x:c r="D33" s="173" t="n">
        <x:f>IFERROR(INDEX('Client Overview'!$I$5:$I$10,MATCH(B33,'Client Overview'!$H$5:$H$10,0)),"")</x:f>
        <x:v>1</x:v>
      </x:c>
      <x:c r="E33" s="170" t="str">
        <x:f>IF(OR(C33="",D33=""),"",EDATE(C33,D33))</x:f>
      </x:c>
      <x:c r="F33" s="173" t="str">
        <x:f>IF(E33="","",E33-TODAY())</x:f>
      </x:c>
      <x:c r="G33" s="166" t="str">
        <x:f>IF(E33="","No Date",IF(F33&lt;=INDEX('Client Overview'!$K$5:$K$10,MATCH(B33,'Client Overview'!$H$5:$H$10,0))*30.4375,"Red",IF(F33&lt;=INDEX('Client Overview'!$J$5:$J$10,MATCH(B33,'Client Overview'!$H$5:$H$10,0))*30.4375,"Yellow","Green")))</x:f>
        <x:v>No Date</x:v>
      </x:c>
      <x:c r="J33" s="101" t="str">
        <x:v>Organization 32</x:v>
      </x:c>
      <x:c r="K33" s="101"/>
    </x:row>
    <x:row r="34" ht="22" customHeight="1">
      <x:c r="A34" s="159" t="str">
        <x:f>INDEX('Client Overview'!$A$6:$A$40,INT((ROW()-16)/6)+1)</x:f>
        <x:v>Organization 4</x:v>
      </x:c>
      <x:c r="B34" s="160" t="str">
        <x:f>INDEX('Client Overview'!$B$5:$G$5,1,MOD(ROW()-16,6)+1)</x:f>
        <x:v>Policy #1</x:v>
      </x:c>
      <x:c r="C34" s="170" t="n">
        <x:f>IFERROR(INDEX('Client Overview'!$B$6:$G$40,MATCH(A34,'Client Overview'!$A$6:$A$40,0),MATCH(B34,'Client Overview'!$B$5:$G$5,0)),"")</x:f>
        <x:v>46037</x:v>
      </x:c>
      <x:c r="D34" s="173" t="n">
        <x:f>IFERROR(INDEX('Client Overview'!$I$5:$I$10,MATCH(B34,'Client Overview'!$H$5:$H$10,0)),"")</x:f>
        <x:v>15</x:v>
      </x:c>
      <x:c r="E34" s="170" t="n">
        <x:f>IF(OR(C34="",D34=""),"",EDATE(C34,D34))</x:f>
        <x:v>46492</x:v>
      </x:c>
      <x:c r="F34" s="173" t="n">
        <x:f>IF(E34="","",E34-TODAY())</x:f>
        <x:v>239</x:v>
      </x:c>
      <x:c r="G34" s="166" t="str">
        <x:f>IF(E34="","No Date",IF(F34&lt;=INDEX('Client Overview'!$K$5:$K$10,MATCH(B34,'Client Overview'!$H$5:$H$10,0))*30.4375,"Red",IF(F34&lt;=INDEX('Client Overview'!$J$5:$J$10,MATCH(B34,'Client Overview'!$H$5:$H$10,0))*30.4375,"Yellow","Green")))</x:f>
        <x:v>Green</x:v>
      </x:c>
      <x:c r="J34" s="101" t="str">
        <x:v>Organization 33</x:v>
      </x:c>
      <x:c r="K34" s="101"/>
    </x:row>
    <x:row r="35" ht="22" customHeight="1">
      <x:c r="A35" s="159" t="str">
        <x:f>INDEX('Client Overview'!$A$6:$A$40,INT((ROW()-16)/6)+1)</x:f>
        <x:v>Organization 4</x:v>
      </x:c>
      <x:c r="B35" s="160" t="str">
        <x:f>INDEX('Client Overview'!$B$5:$G$5,1,MOD(ROW()-16,6)+1)</x:f>
        <x:v>Policy #2–7</x:v>
      </x:c>
      <x:c r="C35" s="170" t="n">
        <x:f>IFERROR(INDEX('Client Overview'!$B$6:$G$40,MATCH(A35,'Client Overview'!$A$6:$A$40,0),MATCH(B35,'Client Overview'!$B$5:$G$5,0)),"")</x:f>
        <x:v>46037</x:v>
      </x:c>
      <x:c r="D35" s="173" t="n">
        <x:f>IFERROR(INDEX('Client Overview'!$I$5:$I$10,MATCH(B35,'Client Overview'!$H$5:$H$10,0)),"")</x:f>
        <x:v>15</x:v>
      </x:c>
      <x:c r="E35" s="170" t="n">
        <x:f>IF(OR(C35="",D35=""),"",EDATE(C35,D35))</x:f>
        <x:v>46492</x:v>
      </x:c>
      <x:c r="F35" s="173" t="n">
        <x:f>IF(E35="","",E35-TODAY())</x:f>
        <x:v>239</x:v>
      </x:c>
      <x:c r="G35" s="166" t="str">
        <x:f>IF(E35="","No Date",IF(F35&lt;=INDEX('Client Overview'!$K$5:$K$10,MATCH(B35,'Client Overview'!$H$5:$H$10,0))*30.4375,"Red",IF(F35&lt;=INDEX('Client Overview'!$J$5:$J$10,MATCH(B35,'Client Overview'!$H$5:$H$10,0))*30.4375,"Yellow","Green")))</x:f>
        <x:v>Green</x:v>
      </x:c>
      <x:c r="J35" s="101" t="str">
        <x:v>Organization 34</x:v>
      </x:c>
      <x:c r="K35" s="101"/>
    </x:row>
    <x:row r="36" ht="22" customHeight="1">
      <x:c r="A36" s="159" t="str">
        <x:f>INDEX('Client Overview'!$A$6:$A$40,INT((ROW()-16)/6)+1)</x:f>
        <x:v>Organization 4</x:v>
      </x:c>
      <x:c r="B36" s="160" t="str">
        <x:f>INDEX('Client Overview'!$B$5:$G$5,1,MOD(ROW()-16,6)+1)</x:f>
        <x:v>Annual Review</x:v>
      </x:c>
      <x:c r="C36" s="170" t="n">
        <x:f>IFERROR(INDEX('Client Overview'!$B$6:$G$40,MATCH(A36,'Client Overview'!$A$6:$A$40,0),MATCH(B36,'Client Overview'!$B$5:$G$5,0)),"")</x:f>
        <x:v>46037</x:v>
      </x:c>
      <x:c r="D36" s="173" t="n">
        <x:f>IFERROR(INDEX('Client Overview'!$I$5:$I$10,MATCH(B36,'Client Overview'!$H$5:$H$10,0)),"")</x:f>
        <x:v>15</x:v>
      </x:c>
      <x:c r="E36" s="170" t="n">
        <x:f>IF(OR(C36="",D36=""),"",EDATE(C36,D36))</x:f>
        <x:v>46492</x:v>
      </x:c>
      <x:c r="F36" s="173" t="n">
        <x:f>IF(E36="","",E36-TODAY())</x:f>
        <x:v>239</x:v>
      </x:c>
      <x:c r="G36" s="166" t="str">
        <x:f>IF(E36="","No Date",IF(F36&lt;=INDEX('Client Overview'!$K$5:$K$10,MATCH(B36,'Client Overview'!$H$5:$H$10,0))*30.4375,"Red",IF(F36&lt;=INDEX('Client Overview'!$J$5:$J$10,MATCH(B36,'Client Overview'!$H$5:$H$10,0))*30.4375,"Yellow","Green")))</x:f>
        <x:v>Green</x:v>
      </x:c>
      <x:c r="J36" s="101" t="str">
        <x:v>Organization 35</x:v>
      </x:c>
      <x:c r="K36" s="101"/>
    </x:row>
    <x:row r="37" ht="22" customHeight="1">
      <x:c r="A37" s="159" t="str">
        <x:f>INDEX('Client Overview'!$A$6:$A$40,INT((ROW()-16)/6)+1)</x:f>
        <x:v>Organization 4</x:v>
      </x:c>
      <x:c r="B37" s="160" t="str">
        <x:f>INDEX('Client Overview'!$B$5:$G$5,1,MOD(ROW()-16,6)+1)</x:f>
        <x:v>CSIRP Tabletop Completion</x:v>
      </x:c>
      <x:c r="C37" s="170" t="n">
        <x:f>IFERROR(INDEX('Client Overview'!$B$6:$G$40,MATCH(A37,'Client Overview'!$A$6:$A$40,0),MATCH(B37,'Client Overview'!$B$5:$G$5,0)),"")</x:f>
        <x:v>45214</x:v>
      </x:c>
      <x:c r="D37" s="173" t="n">
        <x:f>IFERROR(INDEX('Client Overview'!$I$5:$I$10,MATCH(B37,'Client Overview'!$H$5:$H$10,0)),"")</x:f>
        <x:v>36</x:v>
      </x:c>
      <x:c r="E37" s="170" t="n">
        <x:f>IF(OR(C37="",D37=""),"",EDATE(C37,D37))</x:f>
        <x:v>46310</x:v>
      </x:c>
      <x:c r="F37" s="173" t="n">
        <x:f>IF(E37="","",E37-TODAY())</x:f>
        <x:v>57</x:v>
      </x:c>
      <x:c r="G37" s="166" t="str">
        <x:f>IF(E37="","No Date",IF(F37&lt;=INDEX('Client Overview'!$K$5:$K$10,MATCH(B37,'Client Overview'!$H$5:$H$10,0))*30.4375,"Red",IF(F37&lt;=INDEX('Client Overview'!$J$5:$J$10,MATCH(B37,'Client Overview'!$H$5:$H$10,0))*30.4375,"Yellow","Green")))</x:f>
        <x:v>Red</x:v>
      </x:c>
    </x:row>
    <x:row r="38" ht="22" customHeight="1">
      <x:c r="A38" s="159" t="str">
        <x:f>INDEX('Client Overview'!$A$6:$A$40,INT((ROW()-16)/6)+1)</x:f>
        <x:v>Organization 4</x:v>
      </x:c>
      <x:c r="B38" s="160" t="str">
        <x:f>INDEX('Client Overview'!$B$5:$G$5,1,MOD(ROW()-16,6)+1)</x:f>
        <x:v>RSAW Evidence Tracker</x:v>
      </x:c>
      <x:c r="C38" s="170" t="n">
        <x:f>IFERROR(INDEX('Client Overview'!$B$6:$G$40,MATCH(A38,'Client Overview'!$A$6:$A$40,0),MATCH(B38,'Client Overview'!$B$5:$G$5,0)),"")</x:f>
        <x:v>46174</x:v>
      </x:c>
      <x:c r="D38" s="173" t="n">
        <x:f>IFERROR(INDEX('Client Overview'!$I$5:$I$10,MATCH(B38,'Client Overview'!$H$5:$H$10,0)),"")</x:f>
        <x:v>12</x:v>
      </x:c>
      <x:c r="E38" s="170" t="n">
        <x:f>IF(OR(C38="",D38=""),"",EDATE(C38,D38))</x:f>
        <x:v>46539</x:v>
      </x:c>
      <x:c r="F38" s="173" t="n">
        <x:f>IF(E38="","",E38-TODAY())</x:f>
        <x:v>286</x:v>
      </x:c>
      <x:c r="G38" s="166" t="str">
        <x:f>IF(E38="","No Date",IF(F38&lt;=INDEX('Client Overview'!$K$5:$K$10,MATCH(B38,'Client Overview'!$H$5:$H$10,0))*30.4375,"Red",IF(F38&lt;=INDEX('Client Overview'!$J$5:$J$10,MATCH(B38,'Client Overview'!$H$5:$H$10,0))*30.4375,"Yellow","Green")))</x:f>
        <x:v>Green</x:v>
      </x:c>
    </x:row>
    <x:row r="39" ht="22" customHeight="1">
      <x:c r="A39" s="159" t="str">
        <x:f>INDEX('Client Overview'!$A$6:$A$40,INT((ROW()-16)/6)+1)</x:f>
        <x:v>Organization 4</x:v>
      </x:c>
      <x:c r="B39" s="160" t="str">
        <x:f>INDEX('Client Overview'!$B$5:$G$5,1,MOD(ROW()-16,6)+1)</x:f>
        <x:v>CIP Monthly Questions</x:v>
      </x:c>
      <x:c r="C39" s="170" t="str">
        <x:f>IFERROR(INDEX('Client Overview'!$B$6:$G$40,MATCH(A39,'Client Overview'!$A$6:$A$40,0),MATCH(B39,'Client Overview'!$B$5:$G$5,0)),"")</x:f>
      </x:c>
      <x:c r="D39" s="173" t="n">
        <x:f>IFERROR(INDEX('Client Overview'!$I$5:$I$10,MATCH(B39,'Client Overview'!$H$5:$H$10,0)),"")</x:f>
        <x:v>1</x:v>
      </x:c>
      <x:c r="E39" s="170" t="str">
        <x:f>IF(OR(C39="",D39=""),"",EDATE(C39,D39))</x:f>
      </x:c>
      <x:c r="F39" s="173" t="str">
        <x:f>IF(E39="","",E39-TODAY())</x:f>
      </x:c>
      <x:c r="G39" s="166" t="str">
        <x:f>IF(E39="","No Date",IF(F39&lt;=INDEX('Client Overview'!$K$5:$K$10,MATCH(B39,'Client Overview'!$H$5:$H$10,0))*30.4375,"Red",IF(F39&lt;=INDEX('Client Overview'!$J$5:$J$10,MATCH(B39,'Client Overview'!$H$5:$H$10,0))*30.4375,"Yellow","Green")))</x:f>
        <x:v>No Date</x:v>
      </x:c>
    </x:row>
    <x:row r="40" ht="22" customHeight="1">
      <x:c r="A40" s="159" t="str">
        <x:f>INDEX('Client Overview'!$A$6:$A$40,INT((ROW()-16)/6)+1)</x:f>
        <x:v>Organization 5</x:v>
      </x:c>
      <x:c r="B40" s="160" t="str">
        <x:f>INDEX('Client Overview'!$B$5:$G$5,1,MOD(ROW()-16,6)+1)</x:f>
        <x:v>Policy #1</x:v>
      </x:c>
      <x:c r="C40" s="170" t="n">
        <x:f>IFERROR(INDEX('Client Overview'!$B$6:$G$40,MATCH(A40,'Client Overview'!$A$6:$A$40,0),MATCH(B40,'Client Overview'!$B$5:$G$5,0)),"")</x:f>
        <x:v>46037</x:v>
      </x:c>
      <x:c r="D40" s="173" t="n">
        <x:f>IFERROR(INDEX('Client Overview'!$I$5:$I$10,MATCH(B40,'Client Overview'!$H$5:$H$10,0)),"")</x:f>
        <x:v>15</x:v>
      </x:c>
      <x:c r="E40" s="170" t="n">
        <x:f>IF(OR(C40="",D40=""),"",EDATE(C40,D40))</x:f>
        <x:v>46492</x:v>
      </x:c>
      <x:c r="F40" s="173" t="n">
        <x:f>IF(E40="","",E40-TODAY())</x:f>
        <x:v>239</x:v>
      </x:c>
      <x:c r="G40" s="166" t="str">
        <x:f>IF(E40="","No Date",IF(F40&lt;=INDEX('Client Overview'!$K$5:$K$10,MATCH(B40,'Client Overview'!$H$5:$H$10,0))*30.4375,"Red",IF(F40&lt;=INDEX('Client Overview'!$J$5:$J$10,MATCH(B40,'Client Overview'!$H$5:$H$10,0))*30.4375,"Yellow","Green")))</x:f>
        <x:v>Green</x:v>
      </x:c>
    </x:row>
    <x:row r="41" ht="22" customHeight="1">
      <x:c r="A41" s="159" t="str">
        <x:f>INDEX('Client Overview'!$A$6:$A$40,INT((ROW()-16)/6)+1)</x:f>
        <x:v>Organization 5</x:v>
      </x:c>
      <x:c r="B41" s="160" t="str">
        <x:f>INDEX('Client Overview'!$B$5:$G$5,1,MOD(ROW()-16,6)+1)</x:f>
        <x:v>Policy #2–7</x:v>
      </x:c>
      <x:c r="C41" s="170" t="n">
        <x:f>IFERROR(INDEX('Client Overview'!$B$6:$G$40,MATCH(A41,'Client Overview'!$A$6:$A$40,0),MATCH(B41,'Client Overview'!$B$5:$G$5,0)),"")</x:f>
        <x:v>46037</x:v>
      </x:c>
      <x:c r="D41" s="173" t="n">
        <x:f>IFERROR(INDEX('Client Overview'!$I$5:$I$10,MATCH(B41,'Client Overview'!$H$5:$H$10,0)),"")</x:f>
        <x:v>15</x:v>
      </x:c>
      <x:c r="E41" s="170" t="n">
        <x:f>IF(OR(C41="",D41=""),"",EDATE(C41,D41))</x:f>
        <x:v>46492</x:v>
      </x:c>
      <x:c r="F41" s="173" t="n">
        <x:f>IF(E41="","",E41-TODAY())</x:f>
        <x:v>239</x:v>
      </x:c>
      <x:c r="G41" s="166" t="str">
        <x:f>IF(E41="","No Date",IF(F41&lt;=INDEX('Client Overview'!$K$5:$K$10,MATCH(B41,'Client Overview'!$H$5:$H$10,0))*30.4375,"Red",IF(F41&lt;=INDEX('Client Overview'!$J$5:$J$10,MATCH(B41,'Client Overview'!$H$5:$H$10,0))*30.4375,"Yellow","Green")))</x:f>
        <x:v>Green</x:v>
      </x:c>
    </x:row>
    <x:row r="42" ht="22" customHeight="1">
      <x:c r="A42" s="159" t="str">
        <x:f>INDEX('Client Overview'!$A$6:$A$40,INT((ROW()-16)/6)+1)</x:f>
        <x:v>Organization 5</x:v>
      </x:c>
      <x:c r="B42" s="160" t="str">
        <x:f>INDEX('Client Overview'!$B$5:$G$5,1,MOD(ROW()-16,6)+1)</x:f>
        <x:v>Annual Review</x:v>
      </x:c>
      <x:c r="C42" s="170" t="n">
        <x:f>IFERROR(INDEX('Client Overview'!$B$6:$G$40,MATCH(A42,'Client Overview'!$A$6:$A$40,0),MATCH(B42,'Client Overview'!$B$5:$G$5,0)),"")</x:f>
        <x:v>46037</x:v>
      </x:c>
      <x:c r="D42" s="173" t="n">
        <x:f>IFERROR(INDEX('Client Overview'!$I$5:$I$10,MATCH(B42,'Client Overview'!$H$5:$H$10,0)),"")</x:f>
        <x:v>15</x:v>
      </x:c>
      <x:c r="E42" s="170" t="n">
        <x:f>IF(OR(C42="",D42=""),"",EDATE(C42,D42))</x:f>
        <x:v>46492</x:v>
      </x:c>
      <x:c r="F42" s="173" t="n">
        <x:f>IF(E42="","",E42-TODAY())</x:f>
        <x:v>239</x:v>
      </x:c>
      <x:c r="G42" s="166" t="str">
        <x:f>IF(E42="","No Date",IF(F42&lt;=INDEX('Client Overview'!$K$5:$K$10,MATCH(B42,'Client Overview'!$H$5:$H$10,0))*30.4375,"Red",IF(F42&lt;=INDEX('Client Overview'!$J$5:$J$10,MATCH(B42,'Client Overview'!$H$5:$H$10,0))*30.4375,"Yellow","Green")))</x:f>
        <x:v>Green</x:v>
      </x:c>
    </x:row>
    <x:row r="43" ht="22" customHeight="1">
      <x:c r="A43" s="159" t="str">
        <x:f>INDEX('Client Overview'!$A$6:$A$40,INT((ROW()-16)/6)+1)</x:f>
        <x:v>Organization 5</x:v>
      </x:c>
      <x:c r="B43" s="160" t="str">
        <x:f>INDEX('Client Overview'!$B$5:$G$5,1,MOD(ROW()-16,6)+1)</x:f>
        <x:v>CSIRP Tabletop Completion</x:v>
      </x:c>
      <x:c r="C43" s="170" t="n">
        <x:f>IFERROR(INDEX('Client Overview'!$B$6:$G$40,MATCH(A43,'Client Overview'!$A$6:$A$40,0),MATCH(B43,'Client Overview'!$B$5:$G$5,0)),"")</x:f>
        <x:v>45214</x:v>
      </x:c>
      <x:c r="D43" s="173" t="n">
        <x:f>IFERROR(INDEX('Client Overview'!$I$5:$I$10,MATCH(B43,'Client Overview'!$H$5:$H$10,0)),"")</x:f>
        <x:v>36</x:v>
      </x:c>
      <x:c r="E43" s="170" t="n">
        <x:f>IF(OR(C43="",D43=""),"",EDATE(C43,D43))</x:f>
        <x:v>46310</x:v>
      </x:c>
      <x:c r="F43" s="173" t="n">
        <x:f>IF(E43="","",E43-TODAY())</x:f>
        <x:v>57</x:v>
      </x:c>
      <x:c r="G43" s="166" t="str">
        <x:f>IF(E43="","No Date",IF(F43&lt;=INDEX('Client Overview'!$K$5:$K$10,MATCH(B43,'Client Overview'!$H$5:$H$10,0))*30.4375,"Red",IF(F43&lt;=INDEX('Client Overview'!$J$5:$J$10,MATCH(B43,'Client Overview'!$H$5:$H$10,0))*30.4375,"Yellow","Green")))</x:f>
        <x:v>Red</x:v>
      </x:c>
    </x:row>
    <x:row r="44" ht="22" customHeight="1">
      <x:c r="A44" s="159" t="str">
        <x:f>INDEX('Client Overview'!$A$6:$A$40,INT((ROW()-16)/6)+1)</x:f>
        <x:v>Organization 5</x:v>
      </x:c>
      <x:c r="B44" s="160" t="str">
        <x:f>INDEX('Client Overview'!$B$5:$G$5,1,MOD(ROW()-16,6)+1)</x:f>
        <x:v>RSAW Evidence Tracker</x:v>
      </x:c>
      <x:c r="C44" s="170" t="n">
        <x:f>IFERROR(INDEX('Client Overview'!$B$6:$G$40,MATCH(A44,'Client Overview'!$A$6:$A$40,0),MATCH(B44,'Client Overview'!$B$5:$G$5,0)),"")</x:f>
        <x:v>46174</x:v>
      </x:c>
      <x:c r="D44" s="173" t="n">
        <x:f>IFERROR(INDEX('Client Overview'!$I$5:$I$10,MATCH(B44,'Client Overview'!$H$5:$H$10,0)),"")</x:f>
        <x:v>12</x:v>
      </x:c>
      <x:c r="E44" s="170" t="n">
        <x:f>IF(OR(C44="",D44=""),"",EDATE(C44,D44))</x:f>
        <x:v>46539</x:v>
      </x:c>
      <x:c r="F44" s="173" t="n">
        <x:f>IF(E44="","",E44-TODAY())</x:f>
        <x:v>286</x:v>
      </x:c>
      <x:c r="G44" s="166" t="str">
        <x:f>IF(E44="","No Date",IF(F44&lt;=INDEX('Client Overview'!$K$5:$K$10,MATCH(B44,'Client Overview'!$H$5:$H$10,0))*30.4375,"Red",IF(F44&lt;=INDEX('Client Overview'!$J$5:$J$10,MATCH(B44,'Client Overview'!$H$5:$H$10,0))*30.4375,"Yellow","Green")))</x:f>
        <x:v>Green</x:v>
      </x:c>
    </x:row>
    <x:row r="45" ht="22" customHeight="1">
      <x:c r="A45" s="159" t="str">
        <x:f>INDEX('Client Overview'!$A$6:$A$40,INT((ROW()-16)/6)+1)</x:f>
        <x:v>Organization 5</x:v>
      </x:c>
      <x:c r="B45" s="160" t="str">
        <x:f>INDEX('Client Overview'!$B$5:$G$5,1,MOD(ROW()-16,6)+1)</x:f>
        <x:v>CIP Monthly Questions</x:v>
      </x:c>
      <x:c r="C45" s="170" t="str">
        <x:f>IFERROR(INDEX('Client Overview'!$B$6:$G$40,MATCH(A45,'Client Overview'!$A$6:$A$40,0),MATCH(B45,'Client Overview'!$B$5:$G$5,0)),"")</x:f>
      </x:c>
      <x:c r="D45" s="173" t="n">
        <x:f>IFERROR(INDEX('Client Overview'!$I$5:$I$10,MATCH(B45,'Client Overview'!$H$5:$H$10,0)),"")</x:f>
        <x:v>1</x:v>
      </x:c>
      <x:c r="E45" s="170" t="str">
        <x:f>IF(OR(C45="",D45=""),"",EDATE(C45,D45))</x:f>
      </x:c>
      <x:c r="F45" s="173" t="str">
        <x:f>IF(E45="","",E45-TODAY())</x:f>
      </x:c>
      <x:c r="G45" s="166" t="str">
        <x:f>IF(E45="","No Date",IF(F45&lt;=INDEX('Client Overview'!$K$5:$K$10,MATCH(B45,'Client Overview'!$H$5:$H$10,0))*30.4375,"Red",IF(F45&lt;=INDEX('Client Overview'!$J$5:$J$10,MATCH(B45,'Client Overview'!$H$5:$H$10,0))*30.4375,"Yellow","Green")))</x:f>
        <x:v>No Date</x:v>
      </x:c>
    </x:row>
    <x:row r="46" ht="22" customHeight="1">
      <x:c r="A46" s="159" t="str">
        <x:f>INDEX('Client Overview'!$A$6:$A$40,INT((ROW()-16)/6)+1)</x:f>
        <x:v>Organization 6</x:v>
      </x:c>
      <x:c r="B46" s="160" t="str">
        <x:f>INDEX('Client Overview'!$B$5:$G$5,1,MOD(ROW()-16,6)+1)</x:f>
        <x:v>Policy #1</x:v>
      </x:c>
      <x:c r="C46" s="170" t="n">
        <x:f>IFERROR(INDEX('Client Overview'!$B$6:$G$40,MATCH(A46,'Client Overview'!$A$6:$A$40,0),MATCH(B46,'Client Overview'!$B$5:$G$5,0)),"")</x:f>
        <x:v>46037</x:v>
      </x:c>
      <x:c r="D46" s="173" t="n">
        <x:f>IFERROR(INDEX('Client Overview'!$I$5:$I$10,MATCH(B46,'Client Overview'!$H$5:$H$10,0)),"")</x:f>
        <x:v>15</x:v>
      </x:c>
      <x:c r="E46" s="170" t="n">
        <x:f>IF(OR(C46="",D46=""),"",EDATE(C46,D46))</x:f>
        <x:v>46492</x:v>
      </x:c>
      <x:c r="F46" s="173" t="n">
        <x:f>IF(E46="","",E46-TODAY())</x:f>
        <x:v>239</x:v>
      </x:c>
      <x:c r="G46" s="166" t="str">
        <x:f>IF(E46="","No Date",IF(F46&lt;=INDEX('Client Overview'!$K$5:$K$10,MATCH(B46,'Client Overview'!$H$5:$H$10,0))*30.4375,"Red",IF(F46&lt;=INDEX('Client Overview'!$J$5:$J$10,MATCH(B46,'Client Overview'!$H$5:$H$10,0))*30.4375,"Yellow","Green")))</x:f>
        <x:v>Green</x:v>
      </x:c>
    </x:row>
    <x:row r="47" ht="22" customHeight="1">
      <x:c r="A47" s="159" t="str">
        <x:f>INDEX('Client Overview'!$A$6:$A$40,INT((ROW()-16)/6)+1)</x:f>
        <x:v>Organization 6</x:v>
      </x:c>
      <x:c r="B47" s="160" t="str">
        <x:f>INDEX('Client Overview'!$B$5:$G$5,1,MOD(ROW()-16,6)+1)</x:f>
        <x:v>Policy #2–7</x:v>
      </x:c>
      <x:c r="C47" s="170" t="n">
        <x:f>IFERROR(INDEX('Client Overview'!$B$6:$G$40,MATCH(A47,'Client Overview'!$A$6:$A$40,0),MATCH(B47,'Client Overview'!$B$5:$G$5,0)),"")</x:f>
        <x:v>46037</x:v>
      </x:c>
      <x:c r="D47" s="173" t="n">
        <x:f>IFERROR(INDEX('Client Overview'!$I$5:$I$10,MATCH(B47,'Client Overview'!$H$5:$H$10,0)),"")</x:f>
        <x:v>15</x:v>
      </x:c>
      <x:c r="E47" s="170" t="n">
        <x:f>IF(OR(C47="",D47=""),"",EDATE(C47,D47))</x:f>
        <x:v>46492</x:v>
      </x:c>
      <x:c r="F47" s="173" t="n">
        <x:f>IF(E47="","",E47-TODAY())</x:f>
        <x:v>239</x:v>
      </x:c>
      <x:c r="G47" s="166" t="str">
        <x:f>IF(E47="","No Date",IF(F47&lt;=INDEX('Client Overview'!$K$5:$K$10,MATCH(B47,'Client Overview'!$H$5:$H$10,0))*30.4375,"Red",IF(F47&lt;=INDEX('Client Overview'!$J$5:$J$10,MATCH(B47,'Client Overview'!$H$5:$H$10,0))*30.4375,"Yellow","Green")))</x:f>
        <x:v>Green</x:v>
      </x:c>
    </x:row>
    <x:row r="48" ht="22" customHeight="1">
      <x:c r="A48" s="159" t="str">
        <x:f>INDEX('Client Overview'!$A$6:$A$40,INT((ROW()-16)/6)+1)</x:f>
        <x:v>Organization 6</x:v>
      </x:c>
      <x:c r="B48" s="160" t="str">
        <x:f>INDEX('Client Overview'!$B$5:$G$5,1,MOD(ROW()-16,6)+1)</x:f>
        <x:v>Annual Review</x:v>
      </x:c>
      <x:c r="C48" s="170" t="n">
        <x:f>IFERROR(INDEX('Client Overview'!$B$6:$G$40,MATCH(A48,'Client Overview'!$A$6:$A$40,0),MATCH(B48,'Client Overview'!$B$5:$G$5,0)),"")</x:f>
        <x:v>46037</x:v>
      </x:c>
      <x:c r="D48" s="173" t="n">
        <x:f>IFERROR(INDEX('Client Overview'!$I$5:$I$10,MATCH(B48,'Client Overview'!$H$5:$H$10,0)),"")</x:f>
        <x:v>15</x:v>
      </x:c>
      <x:c r="E48" s="170" t="n">
        <x:f>IF(OR(C48="",D48=""),"",EDATE(C48,D48))</x:f>
        <x:v>46492</x:v>
      </x:c>
      <x:c r="F48" s="173" t="n">
        <x:f>IF(E48="","",E48-TODAY())</x:f>
        <x:v>239</x:v>
      </x:c>
      <x:c r="G48" s="166" t="str">
        <x:f>IF(E48="","No Date",IF(F48&lt;=INDEX('Client Overview'!$K$5:$K$10,MATCH(B48,'Client Overview'!$H$5:$H$10,0))*30.4375,"Red",IF(F48&lt;=INDEX('Client Overview'!$J$5:$J$10,MATCH(B48,'Client Overview'!$H$5:$H$10,0))*30.4375,"Yellow","Green")))</x:f>
        <x:v>Green</x:v>
      </x:c>
    </x:row>
    <x:row r="49" ht="22" customHeight="1">
      <x:c r="A49" s="159" t="str">
        <x:f>INDEX('Client Overview'!$A$6:$A$40,INT((ROW()-16)/6)+1)</x:f>
        <x:v>Organization 6</x:v>
      </x:c>
      <x:c r="B49" s="160" t="str">
        <x:f>INDEX('Client Overview'!$B$5:$G$5,1,MOD(ROW()-16,6)+1)</x:f>
        <x:v>CSIRP Tabletop Completion</x:v>
      </x:c>
      <x:c r="C49" s="170" t="n">
        <x:f>IFERROR(INDEX('Client Overview'!$B$6:$G$40,MATCH(A49,'Client Overview'!$A$6:$A$40,0),MATCH(B49,'Client Overview'!$B$5:$G$5,0)),"")</x:f>
        <x:v>45214</x:v>
      </x:c>
      <x:c r="D49" s="173" t="n">
        <x:f>IFERROR(INDEX('Client Overview'!$I$5:$I$10,MATCH(B49,'Client Overview'!$H$5:$H$10,0)),"")</x:f>
        <x:v>36</x:v>
      </x:c>
      <x:c r="E49" s="170" t="n">
        <x:f>IF(OR(C49="",D49=""),"",EDATE(C49,D49))</x:f>
        <x:v>46310</x:v>
      </x:c>
      <x:c r="F49" s="173" t="n">
        <x:f>IF(E49="","",E49-TODAY())</x:f>
        <x:v>57</x:v>
      </x:c>
      <x:c r="G49" s="166" t="str">
        <x:f>IF(E49="","No Date",IF(F49&lt;=INDEX('Client Overview'!$K$5:$K$10,MATCH(B49,'Client Overview'!$H$5:$H$10,0))*30.4375,"Red",IF(F49&lt;=INDEX('Client Overview'!$J$5:$J$10,MATCH(B49,'Client Overview'!$H$5:$H$10,0))*30.4375,"Yellow","Green")))</x:f>
        <x:v>Red</x:v>
      </x:c>
    </x:row>
    <x:row r="50" ht="22" customHeight="1">
      <x:c r="A50" s="159" t="str">
        <x:f>INDEX('Client Overview'!$A$6:$A$40,INT((ROW()-16)/6)+1)</x:f>
        <x:v>Organization 6</x:v>
      </x:c>
      <x:c r="B50" s="160" t="str">
        <x:f>INDEX('Client Overview'!$B$5:$G$5,1,MOD(ROW()-16,6)+1)</x:f>
        <x:v>RSAW Evidence Tracker</x:v>
      </x:c>
      <x:c r="C50" s="170" t="n">
        <x:f>IFERROR(INDEX('Client Overview'!$B$6:$G$40,MATCH(A50,'Client Overview'!$A$6:$A$40,0),MATCH(B50,'Client Overview'!$B$5:$G$5,0)),"")</x:f>
        <x:v>46174</x:v>
      </x:c>
      <x:c r="D50" s="173" t="n">
        <x:f>IFERROR(INDEX('Client Overview'!$I$5:$I$10,MATCH(B50,'Client Overview'!$H$5:$H$10,0)),"")</x:f>
        <x:v>12</x:v>
      </x:c>
      <x:c r="E50" s="170" t="n">
        <x:f>IF(OR(C50="",D50=""),"",EDATE(C50,D50))</x:f>
        <x:v>46539</x:v>
      </x:c>
      <x:c r="F50" s="173" t="n">
        <x:f>IF(E50="","",E50-TODAY())</x:f>
        <x:v>286</x:v>
      </x:c>
      <x:c r="G50" s="166" t="str">
        <x:f>IF(E50="","No Date",IF(F50&lt;=INDEX('Client Overview'!$K$5:$K$10,MATCH(B50,'Client Overview'!$H$5:$H$10,0))*30.4375,"Red",IF(F50&lt;=INDEX('Client Overview'!$J$5:$J$10,MATCH(B50,'Client Overview'!$H$5:$H$10,0))*30.4375,"Yellow","Green")))</x:f>
        <x:v>Green</x:v>
      </x:c>
    </x:row>
    <x:row r="51" ht="22" customHeight="1">
      <x:c r="A51" s="159" t="str">
        <x:f>INDEX('Client Overview'!$A$6:$A$40,INT((ROW()-16)/6)+1)</x:f>
        <x:v>Organization 6</x:v>
      </x:c>
      <x:c r="B51" s="160" t="str">
        <x:f>INDEX('Client Overview'!$B$5:$G$5,1,MOD(ROW()-16,6)+1)</x:f>
        <x:v>CIP Monthly Questions</x:v>
      </x:c>
      <x:c r="C51" s="170" t="str">
        <x:f>IFERROR(INDEX('Client Overview'!$B$6:$G$40,MATCH(A51,'Client Overview'!$A$6:$A$40,0),MATCH(B51,'Client Overview'!$B$5:$G$5,0)),"")</x:f>
      </x:c>
      <x:c r="D51" s="173" t="n">
        <x:f>IFERROR(INDEX('Client Overview'!$I$5:$I$10,MATCH(B51,'Client Overview'!$H$5:$H$10,0)),"")</x:f>
        <x:v>1</x:v>
      </x:c>
      <x:c r="E51" s="170" t="str">
        <x:f>IF(OR(C51="",D51=""),"",EDATE(C51,D51))</x:f>
      </x:c>
      <x:c r="F51" s="173" t="str">
        <x:f>IF(E51="","",E51-TODAY())</x:f>
      </x:c>
      <x:c r="G51" s="166" t="str">
        <x:f>IF(E51="","No Date",IF(F51&lt;=INDEX('Client Overview'!$K$5:$K$10,MATCH(B51,'Client Overview'!$H$5:$H$10,0))*30.4375,"Red",IF(F51&lt;=INDEX('Client Overview'!$J$5:$J$10,MATCH(B51,'Client Overview'!$H$5:$H$10,0))*30.4375,"Yellow","Green")))</x:f>
        <x:v>No Date</x:v>
      </x:c>
    </x:row>
    <x:row r="52" ht="22" customHeight="1">
      <x:c r="A52" s="159" t="str">
        <x:f>INDEX('Client Overview'!$A$6:$A$40,INT((ROW()-16)/6)+1)</x:f>
        <x:v>Organization 7</x:v>
      </x:c>
      <x:c r="B52" s="160" t="str">
        <x:f>INDEX('Client Overview'!$B$5:$G$5,1,MOD(ROW()-16,6)+1)</x:f>
        <x:v>Policy #1</x:v>
      </x:c>
      <x:c r="C52" s="170" t="n">
        <x:f>IFERROR(INDEX('Client Overview'!$B$6:$G$40,MATCH(A52,'Client Overview'!$A$6:$A$40,0),MATCH(B52,'Client Overview'!$B$5:$G$5,0)),"")</x:f>
        <x:v>46037</x:v>
      </x:c>
      <x:c r="D52" s="173" t="n">
        <x:f>IFERROR(INDEX('Client Overview'!$I$5:$I$10,MATCH(B52,'Client Overview'!$H$5:$H$10,0)),"")</x:f>
        <x:v>15</x:v>
      </x:c>
      <x:c r="E52" s="170" t="n">
        <x:f>IF(OR(C52="",D52=""),"",EDATE(C52,D52))</x:f>
        <x:v>46492</x:v>
      </x:c>
      <x:c r="F52" s="173" t="n">
        <x:f>IF(E52="","",E52-TODAY())</x:f>
        <x:v>239</x:v>
      </x:c>
      <x:c r="G52" s="166" t="str">
        <x:f>IF(E52="","No Date",IF(F52&lt;=INDEX('Client Overview'!$K$5:$K$10,MATCH(B52,'Client Overview'!$H$5:$H$10,0))*30.4375,"Red",IF(F52&lt;=INDEX('Client Overview'!$J$5:$J$10,MATCH(B52,'Client Overview'!$H$5:$H$10,0))*30.4375,"Yellow","Green")))</x:f>
        <x:v>Green</x:v>
      </x:c>
    </x:row>
    <x:row r="53" ht="22" customHeight="1">
      <x:c r="A53" s="159" t="str">
        <x:f>INDEX('Client Overview'!$A$6:$A$40,INT((ROW()-16)/6)+1)</x:f>
        <x:v>Organization 7</x:v>
      </x:c>
      <x:c r="B53" s="160" t="str">
        <x:f>INDEX('Client Overview'!$B$5:$G$5,1,MOD(ROW()-16,6)+1)</x:f>
        <x:v>Policy #2–7</x:v>
      </x:c>
      <x:c r="C53" s="170" t="n">
        <x:f>IFERROR(INDEX('Client Overview'!$B$6:$G$40,MATCH(A53,'Client Overview'!$A$6:$A$40,0),MATCH(B53,'Client Overview'!$B$5:$G$5,0)),"")</x:f>
        <x:v>46037</x:v>
      </x:c>
      <x:c r="D53" s="173" t="n">
        <x:f>IFERROR(INDEX('Client Overview'!$I$5:$I$10,MATCH(B53,'Client Overview'!$H$5:$H$10,0)),"")</x:f>
        <x:v>15</x:v>
      </x:c>
      <x:c r="E53" s="170" t="n">
        <x:f>IF(OR(C53="",D53=""),"",EDATE(C53,D53))</x:f>
        <x:v>46492</x:v>
      </x:c>
      <x:c r="F53" s="173" t="n">
        <x:f>IF(E53="","",E53-TODAY())</x:f>
        <x:v>239</x:v>
      </x:c>
      <x:c r="G53" s="166" t="str">
        <x:f>IF(E53="","No Date",IF(F53&lt;=INDEX('Client Overview'!$K$5:$K$10,MATCH(B53,'Client Overview'!$H$5:$H$10,0))*30.4375,"Red",IF(F53&lt;=INDEX('Client Overview'!$J$5:$J$10,MATCH(B53,'Client Overview'!$H$5:$H$10,0))*30.4375,"Yellow","Green")))</x:f>
        <x:v>Green</x:v>
      </x:c>
    </x:row>
    <x:row r="54" ht="22" customHeight="1">
      <x:c r="A54" s="159" t="str">
        <x:f>INDEX('Client Overview'!$A$6:$A$40,INT((ROW()-16)/6)+1)</x:f>
        <x:v>Organization 7</x:v>
      </x:c>
      <x:c r="B54" s="160" t="str">
        <x:f>INDEX('Client Overview'!$B$5:$G$5,1,MOD(ROW()-16,6)+1)</x:f>
        <x:v>Annual Review</x:v>
      </x:c>
      <x:c r="C54" s="170" t="n">
        <x:f>IFERROR(INDEX('Client Overview'!$B$6:$G$40,MATCH(A54,'Client Overview'!$A$6:$A$40,0),MATCH(B54,'Client Overview'!$B$5:$G$5,0)),"")</x:f>
        <x:v>46037</x:v>
      </x:c>
      <x:c r="D54" s="173" t="n">
        <x:f>IFERROR(INDEX('Client Overview'!$I$5:$I$10,MATCH(B54,'Client Overview'!$H$5:$H$10,0)),"")</x:f>
        <x:v>15</x:v>
      </x:c>
      <x:c r="E54" s="170" t="n">
        <x:f>IF(OR(C54="",D54=""),"",EDATE(C54,D54))</x:f>
        <x:v>46492</x:v>
      </x:c>
      <x:c r="F54" s="173" t="n">
        <x:f>IF(E54="","",E54-TODAY())</x:f>
        <x:v>239</x:v>
      </x:c>
      <x:c r="G54" s="166" t="str">
        <x:f>IF(E54="","No Date",IF(F54&lt;=INDEX('Client Overview'!$K$5:$K$10,MATCH(B54,'Client Overview'!$H$5:$H$10,0))*30.4375,"Red",IF(F54&lt;=INDEX('Client Overview'!$J$5:$J$10,MATCH(B54,'Client Overview'!$H$5:$H$10,0))*30.4375,"Yellow","Green")))</x:f>
        <x:v>Green</x:v>
      </x:c>
    </x:row>
    <x:row r="55" ht="22" customHeight="1">
      <x:c r="A55" s="159" t="str">
        <x:f>INDEX('Client Overview'!$A$6:$A$40,INT((ROW()-16)/6)+1)</x:f>
        <x:v>Organization 7</x:v>
      </x:c>
      <x:c r="B55" s="160" t="str">
        <x:f>INDEX('Client Overview'!$B$5:$G$5,1,MOD(ROW()-16,6)+1)</x:f>
        <x:v>CSIRP Tabletop Completion</x:v>
      </x:c>
      <x:c r="C55" s="170" t="n">
        <x:f>IFERROR(INDEX('Client Overview'!$B$6:$G$40,MATCH(A55,'Client Overview'!$A$6:$A$40,0),MATCH(B55,'Client Overview'!$B$5:$G$5,0)),"")</x:f>
        <x:v>45214</x:v>
      </x:c>
      <x:c r="D55" s="173" t="n">
        <x:f>IFERROR(INDEX('Client Overview'!$I$5:$I$10,MATCH(B55,'Client Overview'!$H$5:$H$10,0)),"")</x:f>
        <x:v>36</x:v>
      </x:c>
      <x:c r="E55" s="170" t="n">
        <x:f>IF(OR(C55="",D55=""),"",EDATE(C55,D55))</x:f>
        <x:v>46310</x:v>
      </x:c>
      <x:c r="F55" s="173" t="n">
        <x:f>IF(E55="","",E55-TODAY())</x:f>
        <x:v>57</x:v>
      </x:c>
      <x:c r="G55" s="166" t="str">
        <x:f>IF(E55="","No Date",IF(F55&lt;=INDEX('Client Overview'!$K$5:$K$10,MATCH(B55,'Client Overview'!$H$5:$H$10,0))*30.4375,"Red",IF(F55&lt;=INDEX('Client Overview'!$J$5:$J$10,MATCH(B55,'Client Overview'!$H$5:$H$10,0))*30.4375,"Yellow","Green")))</x:f>
        <x:v>Red</x:v>
      </x:c>
    </x:row>
    <x:row r="56" ht="22" customHeight="1">
      <x:c r="A56" s="159" t="str">
        <x:f>INDEX('Client Overview'!$A$6:$A$40,INT((ROW()-16)/6)+1)</x:f>
        <x:v>Organization 7</x:v>
      </x:c>
      <x:c r="B56" s="160" t="str">
        <x:f>INDEX('Client Overview'!$B$5:$G$5,1,MOD(ROW()-16,6)+1)</x:f>
        <x:v>RSAW Evidence Tracker</x:v>
      </x:c>
      <x:c r="C56" s="170" t="n">
        <x:f>IFERROR(INDEX('Client Overview'!$B$6:$G$40,MATCH(A56,'Client Overview'!$A$6:$A$40,0),MATCH(B56,'Client Overview'!$B$5:$G$5,0)),"")</x:f>
        <x:v>46174</x:v>
      </x:c>
      <x:c r="D56" s="173" t="n">
        <x:f>IFERROR(INDEX('Client Overview'!$I$5:$I$10,MATCH(B56,'Client Overview'!$H$5:$H$10,0)),"")</x:f>
        <x:v>12</x:v>
      </x:c>
      <x:c r="E56" s="170" t="n">
        <x:f>IF(OR(C56="",D56=""),"",EDATE(C56,D56))</x:f>
        <x:v>46539</x:v>
      </x:c>
      <x:c r="F56" s="173" t="n">
        <x:f>IF(E56="","",E56-TODAY())</x:f>
        <x:v>286</x:v>
      </x:c>
      <x:c r="G56" s="166" t="str">
        <x:f>IF(E56="","No Date",IF(F56&lt;=INDEX('Client Overview'!$K$5:$K$10,MATCH(B56,'Client Overview'!$H$5:$H$10,0))*30.4375,"Red",IF(F56&lt;=INDEX('Client Overview'!$J$5:$J$10,MATCH(B56,'Client Overview'!$H$5:$H$10,0))*30.4375,"Yellow","Green")))</x:f>
        <x:v>Green</x:v>
      </x:c>
    </x:row>
    <x:row r="57" ht="22" customHeight="1">
      <x:c r="A57" s="159" t="str">
        <x:f>INDEX('Client Overview'!$A$6:$A$40,INT((ROW()-16)/6)+1)</x:f>
        <x:v>Organization 7</x:v>
      </x:c>
      <x:c r="B57" s="160" t="str">
        <x:f>INDEX('Client Overview'!$B$5:$G$5,1,MOD(ROW()-16,6)+1)</x:f>
        <x:v>CIP Monthly Questions</x:v>
      </x:c>
      <x:c r="C57" s="170" t="str">
        <x:f>IFERROR(INDEX('Client Overview'!$B$6:$G$40,MATCH(A57,'Client Overview'!$A$6:$A$40,0),MATCH(B57,'Client Overview'!$B$5:$G$5,0)),"")</x:f>
      </x:c>
      <x:c r="D57" s="173" t="n">
        <x:f>IFERROR(INDEX('Client Overview'!$I$5:$I$10,MATCH(B57,'Client Overview'!$H$5:$H$10,0)),"")</x:f>
        <x:v>1</x:v>
      </x:c>
      <x:c r="E57" s="170" t="str">
        <x:f>IF(OR(C57="",D57=""),"",EDATE(C57,D57))</x:f>
      </x:c>
      <x:c r="F57" s="173" t="str">
        <x:f>IF(E57="","",E57-TODAY())</x:f>
      </x:c>
      <x:c r="G57" s="166" t="str">
        <x:f>IF(E57="","No Date",IF(F57&lt;=INDEX('Client Overview'!$K$5:$K$10,MATCH(B57,'Client Overview'!$H$5:$H$10,0))*30.4375,"Red",IF(F57&lt;=INDEX('Client Overview'!$J$5:$J$10,MATCH(B57,'Client Overview'!$H$5:$H$10,0))*30.4375,"Yellow","Green")))</x:f>
        <x:v>No Date</x:v>
      </x:c>
    </x:row>
    <x:row r="58" ht="22" customHeight="1">
      <x:c r="A58" s="159" t="str">
        <x:f>INDEX('Client Overview'!$A$6:$A$40,INT((ROW()-16)/6)+1)</x:f>
        <x:v>Organization 8</x:v>
      </x:c>
      <x:c r="B58" s="160" t="str">
        <x:f>INDEX('Client Overview'!$B$5:$G$5,1,MOD(ROW()-16,6)+1)</x:f>
        <x:v>Policy #1</x:v>
      </x:c>
      <x:c r="C58" s="170" t="n">
        <x:f>IFERROR(INDEX('Client Overview'!$B$6:$G$40,MATCH(A58,'Client Overview'!$A$6:$A$40,0),MATCH(B58,'Client Overview'!$B$5:$G$5,0)),"")</x:f>
        <x:v>46037</x:v>
      </x:c>
      <x:c r="D58" s="173" t="n">
        <x:f>IFERROR(INDEX('Client Overview'!$I$5:$I$10,MATCH(B58,'Client Overview'!$H$5:$H$10,0)),"")</x:f>
        <x:v>15</x:v>
      </x:c>
      <x:c r="E58" s="170" t="n">
        <x:f>IF(OR(C58="",D58=""),"",EDATE(C58,D58))</x:f>
        <x:v>46492</x:v>
      </x:c>
      <x:c r="F58" s="173" t="n">
        <x:f>IF(E58="","",E58-TODAY())</x:f>
        <x:v>239</x:v>
      </x:c>
      <x:c r="G58" s="166" t="str">
        <x:f>IF(E58="","No Date",IF(F58&lt;=INDEX('Client Overview'!$K$5:$K$10,MATCH(B58,'Client Overview'!$H$5:$H$10,0))*30.4375,"Red",IF(F58&lt;=INDEX('Client Overview'!$J$5:$J$10,MATCH(B58,'Client Overview'!$H$5:$H$10,0))*30.4375,"Yellow","Green")))</x:f>
        <x:v>Green</x:v>
      </x:c>
    </x:row>
    <x:row r="59" ht="22" customHeight="1">
      <x:c r="A59" s="159" t="str">
        <x:f>INDEX('Client Overview'!$A$6:$A$40,INT((ROW()-16)/6)+1)</x:f>
        <x:v>Organization 8</x:v>
      </x:c>
      <x:c r="B59" s="160" t="str">
        <x:f>INDEX('Client Overview'!$B$5:$G$5,1,MOD(ROW()-16,6)+1)</x:f>
        <x:v>Policy #2–7</x:v>
      </x:c>
      <x:c r="C59" s="170" t="n">
        <x:f>IFERROR(INDEX('Client Overview'!$B$6:$G$40,MATCH(A59,'Client Overview'!$A$6:$A$40,0),MATCH(B59,'Client Overview'!$B$5:$G$5,0)),"")</x:f>
        <x:v>46037</x:v>
      </x:c>
      <x:c r="D59" s="173" t="n">
        <x:f>IFERROR(INDEX('Client Overview'!$I$5:$I$10,MATCH(B59,'Client Overview'!$H$5:$H$10,0)),"")</x:f>
        <x:v>15</x:v>
      </x:c>
      <x:c r="E59" s="170" t="n">
        <x:f>IF(OR(C59="",D59=""),"",EDATE(C59,D59))</x:f>
        <x:v>46492</x:v>
      </x:c>
      <x:c r="F59" s="173" t="n">
        <x:f>IF(E59="","",E59-TODAY())</x:f>
        <x:v>239</x:v>
      </x:c>
      <x:c r="G59" s="166" t="str">
        <x:f>IF(E59="","No Date",IF(F59&lt;=INDEX('Client Overview'!$K$5:$K$10,MATCH(B59,'Client Overview'!$H$5:$H$10,0))*30.4375,"Red",IF(F59&lt;=INDEX('Client Overview'!$J$5:$J$10,MATCH(B59,'Client Overview'!$H$5:$H$10,0))*30.4375,"Yellow","Green")))</x:f>
        <x:v>Green</x:v>
      </x:c>
    </x:row>
    <x:row r="60" ht="22" customHeight="1">
      <x:c r="A60" s="159" t="str">
        <x:f>INDEX('Client Overview'!$A$6:$A$40,INT((ROW()-16)/6)+1)</x:f>
        <x:v>Organization 8</x:v>
      </x:c>
      <x:c r="B60" s="160" t="str">
        <x:f>INDEX('Client Overview'!$B$5:$G$5,1,MOD(ROW()-16,6)+1)</x:f>
        <x:v>Annual Review</x:v>
      </x:c>
      <x:c r="C60" s="170" t="n">
        <x:f>IFERROR(INDEX('Client Overview'!$B$6:$G$40,MATCH(A60,'Client Overview'!$A$6:$A$40,0),MATCH(B60,'Client Overview'!$B$5:$G$5,0)),"")</x:f>
        <x:v>46037</x:v>
      </x:c>
      <x:c r="D60" s="173" t="n">
        <x:f>IFERROR(INDEX('Client Overview'!$I$5:$I$10,MATCH(B60,'Client Overview'!$H$5:$H$10,0)),"")</x:f>
        <x:v>15</x:v>
      </x:c>
      <x:c r="E60" s="170" t="n">
        <x:f>IF(OR(C60="",D60=""),"",EDATE(C60,D60))</x:f>
        <x:v>46492</x:v>
      </x:c>
      <x:c r="F60" s="173" t="n">
        <x:f>IF(E60="","",E60-TODAY())</x:f>
        <x:v>239</x:v>
      </x:c>
      <x:c r="G60" s="166" t="str">
        <x:f>IF(E60="","No Date",IF(F60&lt;=INDEX('Client Overview'!$K$5:$K$10,MATCH(B60,'Client Overview'!$H$5:$H$10,0))*30.4375,"Red",IF(F60&lt;=INDEX('Client Overview'!$J$5:$J$10,MATCH(B60,'Client Overview'!$H$5:$H$10,0))*30.4375,"Yellow","Green")))</x:f>
        <x:v>Green</x:v>
      </x:c>
    </x:row>
    <x:row r="61" ht="22" customHeight="1">
      <x:c r="A61" s="159" t="str">
        <x:f>INDEX('Client Overview'!$A$6:$A$40,INT((ROW()-16)/6)+1)</x:f>
        <x:v>Organization 8</x:v>
      </x:c>
      <x:c r="B61" s="160" t="str">
        <x:f>INDEX('Client Overview'!$B$5:$G$5,1,MOD(ROW()-16,6)+1)</x:f>
        <x:v>CSIRP Tabletop Completion</x:v>
      </x:c>
      <x:c r="C61" s="170" t="n">
        <x:f>IFERROR(INDEX('Client Overview'!$B$6:$G$40,MATCH(A61,'Client Overview'!$A$6:$A$40,0),MATCH(B61,'Client Overview'!$B$5:$G$5,0)),"")</x:f>
        <x:v>45214</x:v>
      </x:c>
      <x:c r="D61" s="173" t="n">
        <x:f>IFERROR(INDEX('Client Overview'!$I$5:$I$10,MATCH(B61,'Client Overview'!$H$5:$H$10,0)),"")</x:f>
        <x:v>36</x:v>
      </x:c>
      <x:c r="E61" s="170" t="n">
        <x:f>IF(OR(C61="",D61=""),"",EDATE(C61,D61))</x:f>
        <x:v>46310</x:v>
      </x:c>
      <x:c r="F61" s="173" t="n">
        <x:f>IF(E61="","",E61-TODAY())</x:f>
        <x:v>57</x:v>
      </x:c>
      <x:c r="G61" s="166" t="str">
        <x:f>IF(E61="","No Date",IF(F61&lt;=INDEX('Client Overview'!$K$5:$K$10,MATCH(B61,'Client Overview'!$H$5:$H$10,0))*30.4375,"Red",IF(F61&lt;=INDEX('Client Overview'!$J$5:$J$10,MATCH(B61,'Client Overview'!$H$5:$H$10,0))*30.4375,"Yellow","Green")))</x:f>
        <x:v>Red</x:v>
      </x:c>
    </x:row>
    <x:row r="62" ht="22" customHeight="1">
      <x:c r="A62" s="159" t="str">
        <x:f>INDEX('Client Overview'!$A$6:$A$40,INT((ROW()-16)/6)+1)</x:f>
        <x:v>Organization 8</x:v>
      </x:c>
      <x:c r="B62" s="160" t="str">
        <x:f>INDEX('Client Overview'!$B$5:$G$5,1,MOD(ROW()-16,6)+1)</x:f>
        <x:v>RSAW Evidence Tracker</x:v>
      </x:c>
      <x:c r="C62" s="170" t="n">
        <x:f>IFERROR(INDEX('Client Overview'!$B$6:$G$40,MATCH(A62,'Client Overview'!$A$6:$A$40,0),MATCH(B62,'Client Overview'!$B$5:$G$5,0)),"")</x:f>
        <x:v>46174</x:v>
      </x:c>
      <x:c r="D62" s="173" t="n">
        <x:f>IFERROR(INDEX('Client Overview'!$I$5:$I$10,MATCH(B62,'Client Overview'!$H$5:$H$10,0)),"")</x:f>
        <x:v>12</x:v>
      </x:c>
      <x:c r="E62" s="170" t="n">
        <x:f>IF(OR(C62="",D62=""),"",EDATE(C62,D62))</x:f>
        <x:v>46539</x:v>
      </x:c>
      <x:c r="F62" s="173" t="n">
        <x:f>IF(E62="","",E62-TODAY())</x:f>
        <x:v>286</x:v>
      </x:c>
      <x:c r="G62" s="166" t="str">
        <x:f>IF(E62="","No Date",IF(F62&lt;=INDEX('Client Overview'!$K$5:$K$10,MATCH(B62,'Client Overview'!$H$5:$H$10,0))*30.4375,"Red",IF(F62&lt;=INDEX('Client Overview'!$J$5:$J$10,MATCH(B62,'Client Overview'!$H$5:$H$10,0))*30.4375,"Yellow","Green")))</x:f>
        <x:v>Green</x:v>
      </x:c>
    </x:row>
    <x:row r="63" ht="22" customHeight="1">
      <x:c r="A63" s="159" t="str">
        <x:f>INDEX('Client Overview'!$A$6:$A$40,INT((ROW()-16)/6)+1)</x:f>
        <x:v>Organization 8</x:v>
      </x:c>
      <x:c r="B63" s="160" t="str">
        <x:f>INDEX('Client Overview'!$B$5:$G$5,1,MOD(ROW()-16,6)+1)</x:f>
        <x:v>CIP Monthly Questions</x:v>
      </x:c>
      <x:c r="C63" s="170" t="str">
        <x:f>IFERROR(INDEX('Client Overview'!$B$6:$G$40,MATCH(A63,'Client Overview'!$A$6:$A$40,0),MATCH(B63,'Client Overview'!$B$5:$G$5,0)),"")</x:f>
      </x:c>
      <x:c r="D63" s="173" t="n">
        <x:f>IFERROR(INDEX('Client Overview'!$I$5:$I$10,MATCH(B63,'Client Overview'!$H$5:$H$10,0)),"")</x:f>
        <x:v>1</x:v>
      </x:c>
      <x:c r="E63" s="170" t="str">
        <x:f>IF(OR(C63="",D63=""),"",EDATE(C63,D63))</x:f>
      </x:c>
      <x:c r="F63" s="173" t="str">
        <x:f>IF(E63="","",E63-TODAY())</x:f>
      </x:c>
      <x:c r="G63" s="166" t="str">
        <x:f>IF(E63="","No Date",IF(F63&lt;=INDEX('Client Overview'!$K$5:$K$10,MATCH(B63,'Client Overview'!$H$5:$H$10,0))*30.4375,"Red",IF(F63&lt;=INDEX('Client Overview'!$J$5:$J$10,MATCH(B63,'Client Overview'!$H$5:$H$10,0))*30.4375,"Yellow","Green")))</x:f>
        <x:v>No Date</x:v>
      </x:c>
    </x:row>
    <x:row r="64" ht="22" customHeight="1">
      <x:c r="A64" s="159" t="str">
        <x:f>INDEX('Client Overview'!$A$6:$A$40,INT((ROW()-16)/6)+1)</x:f>
        <x:v>Organization 9</x:v>
      </x:c>
      <x:c r="B64" s="160" t="str">
        <x:f>INDEX('Client Overview'!$B$5:$G$5,1,MOD(ROW()-16,6)+1)</x:f>
        <x:v>Policy #1</x:v>
      </x:c>
      <x:c r="C64" s="170" t="n">
        <x:f>IFERROR(INDEX('Client Overview'!$B$6:$G$40,MATCH(A64,'Client Overview'!$A$6:$A$40,0),MATCH(B64,'Client Overview'!$B$5:$G$5,0)),"")</x:f>
        <x:v>46037</x:v>
      </x:c>
      <x:c r="D64" s="173" t="n">
        <x:f>IFERROR(INDEX('Client Overview'!$I$5:$I$10,MATCH(B64,'Client Overview'!$H$5:$H$10,0)),"")</x:f>
        <x:v>15</x:v>
      </x:c>
      <x:c r="E64" s="170" t="n">
        <x:f>IF(OR(C64="",D64=""),"",EDATE(C64,D64))</x:f>
        <x:v>46492</x:v>
      </x:c>
      <x:c r="F64" s="173" t="n">
        <x:f>IF(E64="","",E64-TODAY())</x:f>
        <x:v>239</x:v>
      </x:c>
      <x:c r="G64" s="166" t="str">
        <x:f>IF(E64="","No Date",IF(F64&lt;=INDEX('Client Overview'!$K$5:$K$10,MATCH(B64,'Client Overview'!$H$5:$H$10,0))*30.4375,"Red",IF(F64&lt;=INDEX('Client Overview'!$J$5:$J$10,MATCH(B64,'Client Overview'!$H$5:$H$10,0))*30.4375,"Yellow","Green")))</x:f>
        <x:v>Green</x:v>
      </x:c>
    </x:row>
    <x:row r="65" ht="22" customHeight="1">
      <x:c r="A65" s="159" t="str">
        <x:f>INDEX('Client Overview'!$A$6:$A$40,INT((ROW()-16)/6)+1)</x:f>
        <x:v>Organization 9</x:v>
      </x:c>
      <x:c r="B65" s="160" t="str">
        <x:f>INDEX('Client Overview'!$B$5:$G$5,1,MOD(ROW()-16,6)+1)</x:f>
        <x:v>Policy #2–7</x:v>
      </x:c>
      <x:c r="C65" s="170" t="n">
        <x:f>IFERROR(INDEX('Client Overview'!$B$6:$G$40,MATCH(A65,'Client Overview'!$A$6:$A$40,0),MATCH(B65,'Client Overview'!$B$5:$G$5,0)),"")</x:f>
        <x:v>46037</x:v>
      </x:c>
      <x:c r="D65" s="173" t="n">
        <x:f>IFERROR(INDEX('Client Overview'!$I$5:$I$10,MATCH(B65,'Client Overview'!$H$5:$H$10,0)),"")</x:f>
        <x:v>15</x:v>
      </x:c>
      <x:c r="E65" s="170" t="n">
        <x:f>IF(OR(C65="",D65=""),"",EDATE(C65,D65))</x:f>
        <x:v>46492</x:v>
      </x:c>
      <x:c r="F65" s="173" t="n">
        <x:f>IF(E65="","",E65-TODAY())</x:f>
        <x:v>239</x:v>
      </x:c>
      <x:c r="G65" s="166" t="str">
        <x:f>IF(E65="","No Date",IF(F65&lt;=INDEX('Client Overview'!$K$5:$K$10,MATCH(B65,'Client Overview'!$H$5:$H$10,0))*30.4375,"Red",IF(F65&lt;=INDEX('Client Overview'!$J$5:$J$10,MATCH(B65,'Client Overview'!$H$5:$H$10,0))*30.4375,"Yellow","Green")))</x:f>
        <x:v>Green</x:v>
      </x:c>
    </x:row>
    <x:row r="66" ht="22" customHeight="1">
      <x:c r="A66" s="159" t="str">
        <x:f>INDEX('Client Overview'!$A$6:$A$40,INT((ROW()-16)/6)+1)</x:f>
        <x:v>Organization 9</x:v>
      </x:c>
      <x:c r="B66" s="160" t="str">
        <x:f>INDEX('Client Overview'!$B$5:$G$5,1,MOD(ROW()-16,6)+1)</x:f>
        <x:v>Annual Review</x:v>
      </x:c>
      <x:c r="C66" s="170" t="n">
        <x:f>IFERROR(INDEX('Client Overview'!$B$6:$G$40,MATCH(A66,'Client Overview'!$A$6:$A$40,0),MATCH(B66,'Client Overview'!$B$5:$G$5,0)),"")</x:f>
        <x:v>46037</x:v>
      </x:c>
      <x:c r="D66" s="173" t="n">
        <x:f>IFERROR(INDEX('Client Overview'!$I$5:$I$10,MATCH(B66,'Client Overview'!$H$5:$H$10,0)),"")</x:f>
        <x:v>15</x:v>
      </x:c>
      <x:c r="E66" s="170" t="n">
        <x:f>IF(OR(C66="",D66=""),"",EDATE(C66,D66))</x:f>
        <x:v>46492</x:v>
      </x:c>
      <x:c r="F66" s="173" t="n">
        <x:f>IF(E66="","",E66-TODAY())</x:f>
        <x:v>239</x:v>
      </x:c>
      <x:c r="G66" s="166" t="str">
        <x:f>IF(E66="","No Date",IF(F66&lt;=INDEX('Client Overview'!$K$5:$K$10,MATCH(B66,'Client Overview'!$H$5:$H$10,0))*30.4375,"Red",IF(F66&lt;=INDEX('Client Overview'!$J$5:$J$10,MATCH(B66,'Client Overview'!$H$5:$H$10,0))*30.4375,"Yellow","Green")))</x:f>
        <x:v>Green</x:v>
      </x:c>
    </x:row>
    <x:row r="67" ht="22" customHeight="1">
      <x:c r="A67" s="159" t="str">
        <x:f>INDEX('Client Overview'!$A$6:$A$40,INT((ROW()-16)/6)+1)</x:f>
        <x:v>Organization 9</x:v>
      </x:c>
      <x:c r="B67" s="160" t="str">
        <x:f>INDEX('Client Overview'!$B$5:$G$5,1,MOD(ROW()-16,6)+1)</x:f>
        <x:v>CSIRP Tabletop Completion</x:v>
      </x:c>
      <x:c r="C67" s="170" t="n">
        <x:f>IFERROR(INDEX('Client Overview'!$B$6:$G$40,MATCH(A67,'Client Overview'!$A$6:$A$40,0),MATCH(B67,'Client Overview'!$B$5:$G$5,0)),"")</x:f>
        <x:v>45214</x:v>
      </x:c>
      <x:c r="D67" s="173" t="n">
        <x:f>IFERROR(INDEX('Client Overview'!$I$5:$I$10,MATCH(B67,'Client Overview'!$H$5:$H$10,0)),"")</x:f>
        <x:v>36</x:v>
      </x:c>
      <x:c r="E67" s="170" t="n">
        <x:f>IF(OR(C67="",D67=""),"",EDATE(C67,D67))</x:f>
        <x:v>46310</x:v>
      </x:c>
      <x:c r="F67" s="173" t="n">
        <x:f>IF(E67="","",E67-TODAY())</x:f>
        <x:v>57</x:v>
      </x:c>
      <x:c r="G67" s="166" t="str">
        <x:f>IF(E67="","No Date",IF(F67&lt;=INDEX('Client Overview'!$K$5:$K$10,MATCH(B67,'Client Overview'!$H$5:$H$10,0))*30.4375,"Red",IF(F67&lt;=INDEX('Client Overview'!$J$5:$J$10,MATCH(B67,'Client Overview'!$H$5:$H$10,0))*30.4375,"Yellow","Green")))</x:f>
        <x:v>Red</x:v>
      </x:c>
    </x:row>
    <x:row r="68" ht="22" customHeight="1">
      <x:c r="A68" s="159" t="str">
        <x:f>INDEX('Client Overview'!$A$6:$A$40,INT((ROW()-16)/6)+1)</x:f>
        <x:v>Organization 9</x:v>
      </x:c>
      <x:c r="B68" s="160" t="str">
        <x:f>INDEX('Client Overview'!$B$5:$G$5,1,MOD(ROW()-16,6)+1)</x:f>
        <x:v>RSAW Evidence Tracker</x:v>
      </x:c>
      <x:c r="C68" s="170" t="n">
        <x:f>IFERROR(INDEX('Client Overview'!$B$6:$G$40,MATCH(A68,'Client Overview'!$A$6:$A$40,0),MATCH(B68,'Client Overview'!$B$5:$G$5,0)),"")</x:f>
        <x:v>46174</x:v>
      </x:c>
      <x:c r="D68" s="173" t="n">
        <x:f>IFERROR(INDEX('Client Overview'!$I$5:$I$10,MATCH(B68,'Client Overview'!$H$5:$H$10,0)),"")</x:f>
        <x:v>12</x:v>
      </x:c>
      <x:c r="E68" s="170" t="n">
        <x:f>IF(OR(C68="",D68=""),"",EDATE(C68,D68))</x:f>
        <x:v>46539</x:v>
      </x:c>
      <x:c r="F68" s="173" t="n">
        <x:f>IF(E68="","",E68-TODAY())</x:f>
        <x:v>286</x:v>
      </x:c>
      <x:c r="G68" s="166" t="str">
        <x:f>IF(E68="","No Date",IF(F68&lt;=INDEX('Client Overview'!$K$5:$K$10,MATCH(B68,'Client Overview'!$H$5:$H$10,0))*30.4375,"Red",IF(F68&lt;=INDEX('Client Overview'!$J$5:$J$10,MATCH(B68,'Client Overview'!$H$5:$H$10,0))*30.4375,"Yellow","Green")))</x:f>
        <x:v>Green</x:v>
      </x:c>
    </x:row>
    <x:row r="69" ht="22" customHeight="1">
      <x:c r="A69" s="159" t="str">
        <x:f>INDEX('Client Overview'!$A$6:$A$40,INT((ROW()-16)/6)+1)</x:f>
        <x:v>Organization 9</x:v>
      </x:c>
      <x:c r="B69" s="160" t="str">
        <x:f>INDEX('Client Overview'!$B$5:$G$5,1,MOD(ROW()-16,6)+1)</x:f>
        <x:v>CIP Monthly Questions</x:v>
      </x:c>
      <x:c r="C69" s="170" t="str">
        <x:f>IFERROR(INDEX('Client Overview'!$B$6:$G$40,MATCH(A69,'Client Overview'!$A$6:$A$40,0),MATCH(B69,'Client Overview'!$B$5:$G$5,0)),"")</x:f>
      </x:c>
      <x:c r="D69" s="173" t="n">
        <x:f>IFERROR(INDEX('Client Overview'!$I$5:$I$10,MATCH(B69,'Client Overview'!$H$5:$H$10,0)),"")</x:f>
        <x:v>1</x:v>
      </x:c>
      <x:c r="E69" s="170" t="str">
        <x:f>IF(OR(C69="",D69=""),"",EDATE(C69,D69))</x:f>
      </x:c>
      <x:c r="F69" s="173" t="str">
        <x:f>IF(E69="","",E69-TODAY())</x:f>
      </x:c>
      <x:c r="G69" s="166" t="str">
        <x:f>IF(E69="","No Date",IF(F69&lt;=INDEX('Client Overview'!$K$5:$K$10,MATCH(B69,'Client Overview'!$H$5:$H$10,0))*30.4375,"Red",IF(F69&lt;=INDEX('Client Overview'!$J$5:$J$10,MATCH(B69,'Client Overview'!$H$5:$H$10,0))*30.4375,"Yellow","Green")))</x:f>
        <x:v>No Date</x:v>
      </x:c>
    </x:row>
    <x:row r="70" ht="22" customHeight="1">
      <x:c r="A70" s="159" t="str">
        <x:f>INDEX('Client Overview'!$A$6:$A$40,INT((ROW()-16)/6)+1)</x:f>
        <x:v>Organization 10</x:v>
      </x:c>
      <x:c r="B70" s="160" t="str">
        <x:f>INDEX('Client Overview'!$B$5:$G$5,1,MOD(ROW()-16,6)+1)</x:f>
        <x:v>Policy #1</x:v>
      </x:c>
      <x:c r="C70" s="170" t="n">
        <x:f>IFERROR(INDEX('Client Overview'!$B$6:$G$40,MATCH(A70,'Client Overview'!$A$6:$A$40,0),MATCH(B70,'Client Overview'!$B$5:$G$5,0)),"")</x:f>
        <x:v>46037</x:v>
      </x:c>
      <x:c r="D70" s="173" t="n">
        <x:f>IFERROR(INDEX('Client Overview'!$I$5:$I$10,MATCH(B70,'Client Overview'!$H$5:$H$10,0)),"")</x:f>
        <x:v>15</x:v>
      </x:c>
      <x:c r="E70" s="170" t="n">
        <x:f>IF(OR(C70="",D70=""),"",EDATE(C70,D70))</x:f>
        <x:v>46492</x:v>
      </x:c>
      <x:c r="F70" s="173" t="n">
        <x:f>IF(E70="","",E70-TODAY())</x:f>
        <x:v>239</x:v>
      </x:c>
      <x:c r="G70" s="166" t="str">
        <x:f>IF(E70="","No Date",IF(F70&lt;=INDEX('Client Overview'!$K$5:$K$10,MATCH(B70,'Client Overview'!$H$5:$H$10,0))*30.4375,"Red",IF(F70&lt;=INDEX('Client Overview'!$J$5:$J$10,MATCH(B70,'Client Overview'!$H$5:$H$10,0))*30.4375,"Yellow","Green")))</x:f>
        <x:v>Green</x:v>
      </x:c>
    </x:row>
    <x:row r="71" ht="22" customHeight="1">
      <x:c r="A71" s="159" t="str">
        <x:f>INDEX('Client Overview'!$A$6:$A$40,INT((ROW()-16)/6)+1)</x:f>
        <x:v>Organization 10</x:v>
      </x:c>
      <x:c r="B71" s="160" t="str">
        <x:f>INDEX('Client Overview'!$B$5:$G$5,1,MOD(ROW()-16,6)+1)</x:f>
        <x:v>Policy #2–7</x:v>
      </x:c>
      <x:c r="C71" s="170" t="n">
        <x:f>IFERROR(INDEX('Client Overview'!$B$6:$G$40,MATCH(A71,'Client Overview'!$A$6:$A$40,0),MATCH(B71,'Client Overview'!$B$5:$G$5,0)),"")</x:f>
        <x:v>46037</x:v>
      </x:c>
      <x:c r="D71" s="173" t="n">
        <x:f>IFERROR(INDEX('Client Overview'!$I$5:$I$10,MATCH(B71,'Client Overview'!$H$5:$H$10,0)),"")</x:f>
        <x:v>15</x:v>
      </x:c>
      <x:c r="E71" s="170" t="n">
        <x:f>IF(OR(C71="",D71=""),"",EDATE(C71,D71))</x:f>
        <x:v>46492</x:v>
      </x:c>
      <x:c r="F71" s="173" t="n">
        <x:f>IF(E71="","",E71-TODAY())</x:f>
        <x:v>239</x:v>
      </x:c>
      <x:c r="G71" s="166" t="str">
        <x:f>IF(E71="","No Date",IF(F71&lt;=INDEX('Client Overview'!$K$5:$K$10,MATCH(B71,'Client Overview'!$H$5:$H$10,0))*30.4375,"Red",IF(F71&lt;=INDEX('Client Overview'!$J$5:$J$10,MATCH(B71,'Client Overview'!$H$5:$H$10,0))*30.4375,"Yellow","Green")))</x:f>
        <x:v>Green</x:v>
      </x:c>
    </x:row>
    <x:row r="72" ht="22" customHeight="1">
      <x:c r="A72" s="159" t="str">
        <x:f>INDEX('Client Overview'!$A$6:$A$40,INT((ROW()-16)/6)+1)</x:f>
        <x:v>Organization 10</x:v>
      </x:c>
      <x:c r="B72" s="160" t="str">
        <x:f>INDEX('Client Overview'!$B$5:$G$5,1,MOD(ROW()-16,6)+1)</x:f>
        <x:v>Annual Review</x:v>
      </x:c>
      <x:c r="C72" s="170" t="n">
        <x:f>IFERROR(INDEX('Client Overview'!$B$6:$G$40,MATCH(A72,'Client Overview'!$A$6:$A$40,0),MATCH(B72,'Client Overview'!$B$5:$G$5,0)),"")</x:f>
        <x:v>46037</x:v>
      </x:c>
      <x:c r="D72" s="173" t="n">
        <x:f>IFERROR(INDEX('Client Overview'!$I$5:$I$10,MATCH(B72,'Client Overview'!$H$5:$H$10,0)),"")</x:f>
        <x:v>15</x:v>
      </x:c>
      <x:c r="E72" s="170" t="n">
        <x:f>IF(OR(C72="",D72=""),"",EDATE(C72,D72))</x:f>
        <x:v>46492</x:v>
      </x:c>
      <x:c r="F72" s="173" t="n">
        <x:f>IF(E72="","",E72-TODAY())</x:f>
        <x:v>239</x:v>
      </x:c>
      <x:c r="G72" s="166" t="str">
        <x:f>IF(E72="","No Date",IF(F72&lt;=INDEX('Client Overview'!$K$5:$K$10,MATCH(B72,'Client Overview'!$H$5:$H$10,0))*30.4375,"Red",IF(F72&lt;=INDEX('Client Overview'!$J$5:$J$10,MATCH(B72,'Client Overview'!$H$5:$H$10,0))*30.4375,"Yellow","Green")))</x:f>
        <x:v>Green</x:v>
      </x:c>
    </x:row>
    <x:row r="73" ht="22" customHeight="1">
      <x:c r="A73" s="159" t="str">
        <x:f>INDEX('Client Overview'!$A$6:$A$40,INT((ROW()-16)/6)+1)</x:f>
        <x:v>Organization 10</x:v>
      </x:c>
      <x:c r="B73" s="160" t="str">
        <x:f>INDEX('Client Overview'!$B$5:$G$5,1,MOD(ROW()-16,6)+1)</x:f>
        <x:v>CSIRP Tabletop Completion</x:v>
      </x:c>
      <x:c r="C73" s="170" t="n">
        <x:f>IFERROR(INDEX('Client Overview'!$B$6:$G$40,MATCH(A73,'Client Overview'!$A$6:$A$40,0),MATCH(B73,'Client Overview'!$B$5:$G$5,0)),"")</x:f>
        <x:v>45214</x:v>
      </x:c>
      <x:c r="D73" s="173" t="n">
        <x:f>IFERROR(INDEX('Client Overview'!$I$5:$I$10,MATCH(B73,'Client Overview'!$H$5:$H$10,0)),"")</x:f>
        <x:v>36</x:v>
      </x:c>
      <x:c r="E73" s="170" t="n">
        <x:f>IF(OR(C73="",D73=""),"",EDATE(C73,D73))</x:f>
        <x:v>46310</x:v>
      </x:c>
      <x:c r="F73" s="173" t="n">
        <x:f>IF(E73="","",E73-TODAY())</x:f>
        <x:v>57</x:v>
      </x:c>
      <x:c r="G73" s="166" t="str">
        <x:f>IF(E73="","No Date",IF(F73&lt;=INDEX('Client Overview'!$K$5:$K$10,MATCH(B73,'Client Overview'!$H$5:$H$10,0))*30.4375,"Red",IF(F73&lt;=INDEX('Client Overview'!$J$5:$J$10,MATCH(B73,'Client Overview'!$H$5:$H$10,0))*30.4375,"Yellow","Green")))</x:f>
        <x:v>Red</x:v>
      </x:c>
    </x:row>
    <x:row r="74" ht="22" customHeight="1">
      <x:c r="A74" s="159" t="str">
        <x:f>INDEX('Client Overview'!$A$6:$A$40,INT((ROW()-16)/6)+1)</x:f>
        <x:v>Organization 10</x:v>
      </x:c>
      <x:c r="B74" s="160" t="str">
        <x:f>INDEX('Client Overview'!$B$5:$G$5,1,MOD(ROW()-16,6)+1)</x:f>
        <x:v>RSAW Evidence Tracker</x:v>
      </x:c>
      <x:c r="C74" s="170" t="n">
        <x:f>IFERROR(INDEX('Client Overview'!$B$6:$G$40,MATCH(A74,'Client Overview'!$A$6:$A$40,0),MATCH(B74,'Client Overview'!$B$5:$G$5,0)),"")</x:f>
        <x:v>46174</x:v>
      </x:c>
      <x:c r="D74" s="173" t="n">
        <x:f>IFERROR(INDEX('Client Overview'!$I$5:$I$10,MATCH(B74,'Client Overview'!$H$5:$H$10,0)),"")</x:f>
        <x:v>12</x:v>
      </x:c>
      <x:c r="E74" s="170" t="n">
        <x:f>IF(OR(C74="",D74=""),"",EDATE(C74,D74))</x:f>
        <x:v>46539</x:v>
      </x:c>
      <x:c r="F74" s="173" t="n">
        <x:f>IF(E74="","",E74-TODAY())</x:f>
        <x:v>286</x:v>
      </x:c>
      <x:c r="G74" s="166" t="str">
        <x:f>IF(E74="","No Date",IF(F74&lt;=INDEX('Client Overview'!$K$5:$K$10,MATCH(B74,'Client Overview'!$H$5:$H$10,0))*30.4375,"Red",IF(F74&lt;=INDEX('Client Overview'!$J$5:$J$10,MATCH(B74,'Client Overview'!$H$5:$H$10,0))*30.4375,"Yellow","Green")))</x:f>
        <x:v>Green</x:v>
      </x:c>
    </x:row>
    <x:row r="75" ht="22" customHeight="1">
      <x:c r="A75" s="159" t="str">
        <x:f>INDEX('Client Overview'!$A$6:$A$40,INT((ROW()-16)/6)+1)</x:f>
        <x:v>Organization 10</x:v>
      </x:c>
      <x:c r="B75" s="160" t="str">
        <x:f>INDEX('Client Overview'!$B$5:$G$5,1,MOD(ROW()-16,6)+1)</x:f>
        <x:v>CIP Monthly Questions</x:v>
      </x:c>
      <x:c r="C75" s="170" t="str">
        <x:f>IFERROR(INDEX('Client Overview'!$B$6:$G$40,MATCH(A75,'Client Overview'!$A$6:$A$40,0),MATCH(B75,'Client Overview'!$B$5:$G$5,0)),"")</x:f>
      </x:c>
      <x:c r="D75" s="173" t="n">
        <x:f>IFERROR(INDEX('Client Overview'!$I$5:$I$10,MATCH(B75,'Client Overview'!$H$5:$H$10,0)),"")</x:f>
        <x:v>1</x:v>
      </x:c>
      <x:c r="E75" s="170" t="str">
        <x:f>IF(OR(C75="",D75=""),"",EDATE(C75,D75))</x:f>
      </x:c>
      <x:c r="F75" s="173" t="str">
        <x:f>IF(E75="","",E75-TODAY())</x:f>
      </x:c>
      <x:c r="G75" s="166" t="str">
        <x:f>IF(E75="","No Date",IF(F75&lt;=INDEX('Client Overview'!$K$5:$K$10,MATCH(B75,'Client Overview'!$H$5:$H$10,0))*30.4375,"Red",IF(F75&lt;=INDEX('Client Overview'!$J$5:$J$10,MATCH(B75,'Client Overview'!$H$5:$H$10,0))*30.4375,"Yellow","Green")))</x:f>
        <x:v>No Date</x:v>
      </x:c>
    </x:row>
    <x:row r="76" ht="22" customHeight="1">
      <x:c r="A76" s="159" t="str">
        <x:f>INDEX('Client Overview'!$A$6:$A$40,INT((ROW()-16)/6)+1)</x:f>
        <x:v>Organization 11</x:v>
      </x:c>
      <x:c r="B76" s="160" t="str">
        <x:f>INDEX('Client Overview'!$B$5:$G$5,1,MOD(ROW()-16,6)+1)</x:f>
        <x:v>Policy #1</x:v>
      </x:c>
      <x:c r="C76" s="170" t="n">
        <x:f>IFERROR(INDEX('Client Overview'!$B$6:$G$40,MATCH(A76,'Client Overview'!$A$6:$A$40,0),MATCH(B76,'Client Overview'!$B$5:$G$5,0)),"")</x:f>
        <x:v>46037</x:v>
      </x:c>
      <x:c r="D76" s="173" t="n">
        <x:f>IFERROR(INDEX('Client Overview'!$I$5:$I$10,MATCH(B76,'Client Overview'!$H$5:$H$10,0)),"")</x:f>
        <x:v>15</x:v>
      </x:c>
      <x:c r="E76" s="170" t="n">
        <x:f>IF(OR(C76="",D76=""),"",EDATE(C76,D76))</x:f>
        <x:v>46492</x:v>
      </x:c>
      <x:c r="F76" s="173" t="n">
        <x:f>IF(E76="","",E76-TODAY())</x:f>
        <x:v>239</x:v>
      </x:c>
      <x:c r="G76" s="166" t="str">
        <x:f>IF(E76="","No Date",IF(F76&lt;=INDEX('Client Overview'!$K$5:$K$10,MATCH(B76,'Client Overview'!$H$5:$H$10,0))*30.4375,"Red",IF(F76&lt;=INDEX('Client Overview'!$J$5:$J$10,MATCH(B76,'Client Overview'!$H$5:$H$10,0))*30.4375,"Yellow","Green")))</x:f>
        <x:v>Green</x:v>
      </x:c>
    </x:row>
    <x:row r="77" ht="22" customHeight="1">
      <x:c r="A77" s="159" t="str">
        <x:f>INDEX('Client Overview'!$A$6:$A$40,INT((ROW()-16)/6)+1)</x:f>
        <x:v>Organization 11</x:v>
      </x:c>
      <x:c r="B77" s="160" t="str">
        <x:f>INDEX('Client Overview'!$B$5:$G$5,1,MOD(ROW()-16,6)+1)</x:f>
        <x:v>Policy #2–7</x:v>
      </x:c>
      <x:c r="C77" s="170" t="n">
        <x:f>IFERROR(INDEX('Client Overview'!$B$6:$G$40,MATCH(A77,'Client Overview'!$A$6:$A$40,0),MATCH(B77,'Client Overview'!$B$5:$G$5,0)),"")</x:f>
        <x:v>46037</x:v>
      </x:c>
      <x:c r="D77" s="173" t="n">
        <x:f>IFERROR(INDEX('Client Overview'!$I$5:$I$10,MATCH(B77,'Client Overview'!$H$5:$H$10,0)),"")</x:f>
        <x:v>15</x:v>
      </x:c>
      <x:c r="E77" s="170" t="n">
        <x:f>IF(OR(C77="",D77=""),"",EDATE(C77,D77))</x:f>
        <x:v>46492</x:v>
      </x:c>
      <x:c r="F77" s="173" t="n">
        <x:f>IF(E77="","",E77-TODAY())</x:f>
        <x:v>239</x:v>
      </x:c>
      <x:c r="G77" s="166" t="str">
        <x:f>IF(E77="","No Date",IF(F77&lt;=INDEX('Client Overview'!$K$5:$K$10,MATCH(B77,'Client Overview'!$H$5:$H$10,0))*30.4375,"Red",IF(F77&lt;=INDEX('Client Overview'!$J$5:$J$10,MATCH(B77,'Client Overview'!$H$5:$H$10,0))*30.4375,"Yellow","Green")))</x:f>
        <x:v>Green</x:v>
      </x:c>
    </x:row>
    <x:row r="78" ht="22" customHeight="1">
      <x:c r="A78" s="159" t="str">
        <x:f>INDEX('Client Overview'!$A$6:$A$40,INT((ROW()-16)/6)+1)</x:f>
        <x:v>Organization 11</x:v>
      </x:c>
      <x:c r="B78" s="160" t="str">
        <x:f>INDEX('Client Overview'!$B$5:$G$5,1,MOD(ROW()-16,6)+1)</x:f>
        <x:v>Annual Review</x:v>
      </x:c>
      <x:c r="C78" s="170" t="n">
        <x:f>IFERROR(INDEX('Client Overview'!$B$6:$G$40,MATCH(A78,'Client Overview'!$A$6:$A$40,0),MATCH(B78,'Client Overview'!$B$5:$G$5,0)),"")</x:f>
        <x:v>46037</x:v>
      </x:c>
      <x:c r="D78" s="173" t="n">
        <x:f>IFERROR(INDEX('Client Overview'!$I$5:$I$10,MATCH(B78,'Client Overview'!$H$5:$H$10,0)),"")</x:f>
        <x:v>15</x:v>
      </x:c>
      <x:c r="E78" s="170" t="n">
        <x:f>IF(OR(C78="",D78=""),"",EDATE(C78,D78))</x:f>
        <x:v>46492</x:v>
      </x:c>
      <x:c r="F78" s="173" t="n">
        <x:f>IF(E78="","",E78-TODAY())</x:f>
        <x:v>239</x:v>
      </x:c>
      <x:c r="G78" s="166" t="str">
        <x:f>IF(E78="","No Date",IF(F78&lt;=INDEX('Client Overview'!$K$5:$K$10,MATCH(B78,'Client Overview'!$H$5:$H$10,0))*30.4375,"Red",IF(F78&lt;=INDEX('Client Overview'!$J$5:$J$10,MATCH(B78,'Client Overview'!$H$5:$H$10,0))*30.4375,"Yellow","Green")))</x:f>
        <x:v>Green</x:v>
      </x:c>
    </x:row>
    <x:row r="79" ht="22" customHeight="1">
      <x:c r="A79" s="159" t="str">
        <x:f>INDEX('Client Overview'!$A$6:$A$40,INT((ROW()-16)/6)+1)</x:f>
        <x:v>Organization 11</x:v>
      </x:c>
      <x:c r="B79" s="160" t="str">
        <x:f>INDEX('Client Overview'!$B$5:$G$5,1,MOD(ROW()-16,6)+1)</x:f>
        <x:v>CSIRP Tabletop Completion</x:v>
      </x:c>
      <x:c r="C79" s="170" t="n">
        <x:f>IFERROR(INDEX('Client Overview'!$B$6:$G$40,MATCH(A79,'Client Overview'!$A$6:$A$40,0),MATCH(B79,'Client Overview'!$B$5:$G$5,0)),"")</x:f>
        <x:v>45214</x:v>
      </x:c>
      <x:c r="D79" s="173" t="n">
        <x:f>IFERROR(INDEX('Client Overview'!$I$5:$I$10,MATCH(B79,'Client Overview'!$H$5:$H$10,0)),"")</x:f>
        <x:v>36</x:v>
      </x:c>
      <x:c r="E79" s="170" t="n">
        <x:f>IF(OR(C79="",D79=""),"",EDATE(C79,D79))</x:f>
        <x:v>46310</x:v>
      </x:c>
      <x:c r="F79" s="173" t="n">
        <x:f>IF(E79="","",E79-TODAY())</x:f>
        <x:v>57</x:v>
      </x:c>
      <x:c r="G79" s="166" t="str">
        <x:f>IF(E79="","No Date",IF(F79&lt;=INDEX('Client Overview'!$K$5:$K$10,MATCH(B79,'Client Overview'!$H$5:$H$10,0))*30.4375,"Red",IF(F79&lt;=INDEX('Client Overview'!$J$5:$J$10,MATCH(B79,'Client Overview'!$H$5:$H$10,0))*30.4375,"Yellow","Green")))</x:f>
        <x:v>Red</x:v>
      </x:c>
    </x:row>
    <x:row r="80" ht="22" customHeight="1">
      <x:c r="A80" s="159" t="str">
        <x:f>INDEX('Client Overview'!$A$6:$A$40,INT((ROW()-16)/6)+1)</x:f>
        <x:v>Organization 11</x:v>
      </x:c>
      <x:c r="B80" s="160" t="str">
        <x:f>INDEX('Client Overview'!$B$5:$G$5,1,MOD(ROW()-16,6)+1)</x:f>
        <x:v>RSAW Evidence Tracker</x:v>
      </x:c>
      <x:c r="C80" s="170" t="n">
        <x:f>IFERROR(INDEX('Client Overview'!$B$6:$G$40,MATCH(A80,'Client Overview'!$A$6:$A$40,0),MATCH(B80,'Client Overview'!$B$5:$G$5,0)),"")</x:f>
        <x:v>46174</x:v>
      </x:c>
      <x:c r="D80" s="173" t="n">
        <x:f>IFERROR(INDEX('Client Overview'!$I$5:$I$10,MATCH(B80,'Client Overview'!$H$5:$H$10,0)),"")</x:f>
        <x:v>12</x:v>
      </x:c>
      <x:c r="E80" s="170" t="n">
        <x:f>IF(OR(C80="",D80=""),"",EDATE(C80,D80))</x:f>
        <x:v>46539</x:v>
      </x:c>
      <x:c r="F80" s="173" t="n">
        <x:f>IF(E80="","",E80-TODAY())</x:f>
        <x:v>286</x:v>
      </x:c>
      <x:c r="G80" s="166" t="str">
        <x:f>IF(E80="","No Date",IF(F80&lt;=INDEX('Client Overview'!$K$5:$K$10,MATCH(B80,'Client Overview'!$H$5:$H$10,0))*30.4375,"Red",IF(F80&lt;=INDEX('Client Overview'!$J$5:$J$10,MATCH(B80,'Client Overview'!$H$5:$H$10,0))*30.4375,"Yellow","Green")))</x:f>
        <x:v>Green</x:v>
      </x:c>
    </x:row>
    <x:row r="81" ht="22" customHeight="1">
      <x:c r="A81" s="159" t="str">
        <x:f>INDEX('Client Overview'!$A$6:$A$40,INT((ROW()-16)/6)+1)</x:f>
        <x:v>Organization 11</x:v>
      </x:c>
      <x:c r="B81" s="160" t="str">
        <x:f>INDEX('Client Overview'!$B$5:$G$5,1,MOD(ROW()-16,6)+1)</x:f>
        <x:v>CIP Monthly Questions</x:v>
      </x:c>
      <x:c r="C81" s="170" t="str">
        <x:f>IFERROR(INDEX('Client Overview'!$B$6:$G$40,MATCH(A81,'Client Overview'!$A$6:$A$40,0),MATCH(B81,'Client Overview'!$B$5:$G$5,0)),"")</x:f>
      </x:c>
      <x:c r="D81" s="173" t="n">
        <x:f>IFERROR(INDEX('Client Overview'!$I$5:$I$10,MATCH(B81,'Client Overview'!$H$5:$H$10,0)),"")</x:f>
        <x:v>1</x:v>
      </x:c>
      <x:c r="E81" s="170" t="str">
        <x:f>IF(OR(C81="",D81=""),"",EDATE(C81,D81))</x:f>
      </x:c>
      <x:c r="F81" s="173" t="str">
        <x:f>IF(E81="","",E81-TODAY())</x:f>
      </x:c>
      <x:c r="G81" s="166" t="str">
        <x:f>IF(E81="","No Date",IF(F81&lt;=INDEX('Client Overview'!$K$5:$K$10,MATCH(B81,'Client Overview'!$H$5:$H$10,0))*30.4375,"Red",IF(F81&lt;=INDEX('Client Overview'!$J$5:$J$10,MATCH(B81,'Client Overview'!$H$5:$H$10,0))*30.4375,"Yellow","Green")))</x:f>
        <x:v>No Date</x:v>
      </x:c>
    </x:row>
    <x:row r="82" ht="22" customHeight="1">
      <x:c r="A82" s="159" t="str">
        <x:f>INDEX('Client Overview'!$A$6:$A$40,INT((ROW()-16)/6)+1)</x:f>
        <x:v>Organization 12</x:v>
      </x:c>
      <x:c r="B82" s="160" t="str">
        <x:f>INDEX('Client Overview'!$B$5:$G$5,1,MOD(ROW()-16,6)+1)</x:f>
        <x:v>Policy #1</x:v>
      </x:c>
      <x:c r="C82" s="170" t="n">
        <x:f>IFERROR(INDEX('Client Overview'!$B$6:$G$40,MATCH(A82,'Client Overview'!$A$6:$A$40,0),MATCH(B82,'Client Overview'!$B$5:$G$5,0)),"")</x:f>
        <x:v>46037</x:v>
      </x:c>
      <x:c r="D82" s="173" t="n">
        <x:f>IFERROR(INDEX('Client Overview'!$I$5:$I$10,MATCH(B82,'Client Overview'!$H$5:$H$10,0)),"")</x:f>
        <x:v>15</x:v>
      </x:c>
      <x:c r="E82" s="170" t="n">
        <x:f>IF(OR(C82="",D82=""),"",EDATE(C82,D82))</x:f>
        <x:v>46492</x:v>
      </x:c>
      <x:c r="F82" s="173" t="n">
        <x:f>IF(E82="","",E82-TODAY())</x:f>
        <x:v>239</x:v>
      </x:c>
      <x:c r="G82" s="166" t="str">
        <x:f>IF(E82="","No Date",IF(F82&lt;=INDEX('Client Overview'!$K$5:$K$10,MATCH(B82,'Client Overview'!$H$5:$H$10,0))*30.4375,"Red",IF(F82&lt;=INDEX('Client Overview'!$J$5:$J$10,MATCH(B82,'Client Overview'!$H$5:$H$10,0))*30.4375,"Yellow","Green")))</x:f>
        <x:v>Green</x:v>
      </x:c>
    </x:row>
    <x:row r="83" ht="22" customHeight="1">
      <x:c r="A83" s="159" t="str">
        <x:f>INDEX('Client Overview'!$A$6:$A$40,INT((ROW()-16)/6)+1)</x:f>
        <x:v>Organization 12</x:v>
      </x:c>
      <x:c r="B83" s="160" t="str">
        <x:f>INDEX('Client Overview'!$B$5:$G$5,1,MOD(ROW()-16,6)+1)</x:f>
        <x:v>Policy #2–7</x:v>
      </x:c>
      <x:c r="C83" s="170" t="n">
        <x:f>IFERROR(INDEX('Client Overview'!$B$6:$G$40,MATCH(A83,'Client Overview'!$A$6:$A$40,0),MATCH(B83,'Client Overview'!$B$5:$G$5,0)),"")</x:f>
        <x:v>46037</x:v>
      </x:c>
      <x:c r="D83" s="173" t="n">
        <x:f>IFERROR(INDEX('Client Overview'!$I$5:$I$10,MATCH(B83,'Client Overview'!$H$5:$H$10,0)),"")</x:f>
        <x:v>15</x:v>
      </x:c>
      <x:c r="E83" s="170" t="n">
        <x:f>IF(OR(C83="",D83=""),"",EDATE(C83,D83))</x:f>
        <x:v>46492</x:v>
      </x:c>
      <x:c r="F83" s="173" t="n">
        <x:f>IF(E83="","",E83-TODAY())</x:f>
        <x:v>239</x:v>
      </x:c>
      <x:c r="G83" s="166" t="str">
        <x:f>IF(E83="","No Date",IF(F83&lt;=INDEX('Client Overview'!$K$5:$K$10,MATCH(B83,'Client Overview'!$H$5:$H$10,0))*30.4375,"Red",IF(F83&lt;=INDEX('Client Overview'!$J$5:$J$10,MATCH(B83,'Client Overview'!$H$5:$H$10,0))*30.4375,"Yellow","Green")))</x:f>
        <x:v>Green</x:v>
      </x:c>
    </x:row>
    <x:row r="84" ht="22" customHeight="1">
      <x:c r="A84" s="159" t="str">
        <x:f>INDEX('Client Overview'!$A$6:$A$40,INT((ROW()-16)/6)+1)</x:f>
        <x:v>Organization 12</x:v>
      </x:c>
      <x:c r="B84" s="160" t="str">
        <x:f>INDEX('Client Overview'!$B$5:$G$5,1,MOD(ROW()-16,6)+1)</x:f>
        <x:v>Annual Review</x:v>
      </x:c>
      <x:c r="C84" s="170" t="n">
        <x:f>IFERROR(INDEX('Client Overview'!$B$6:$G$40,MATCH(A84,'Client Overview'!$A$6:$A$40,0),MATCH(B84,'Client Overview'!$B$5:$G$5,0)),"")</x:f>
        <x:v>46037</x:v>
      </x:c>
      <x:c r="D84" s="173" t="n">
        <x:f>IFERROR(INDEX('Client Overview'!$I$5:$I$10,MATCH(B84,'Client Overview'!$H$5:$H$10,0)),"")</x:f>
        <x:v>15</x:v>
      </x:c>
      <x:c r="E84" s="170" t="n">
        <x:f>IF(OR(C84="",D84=""),"",EDATE(C84,D84))</x:f>
        <x:v>46492</x:v>
      </x:c>
      <x:c r="F84" s="173" t="n">
        <x:f>IF(E84="","",E84-TODAY())</x:f>
        <x:v>239</x:v>
      </x:c>
      <x:c r="G84" s="166" t="str">
        <x:f>IF(E84="","No Date",IF(F84&lt;=INDEX('Client Overview'!$K$5:$K$10,MATCH(B84,'Client Overview'!$H$5:$H$10,0))*30.4375,"Red",IF(F84&lt;=INDEX('Client Overview'!$J$5:$J$10,MATCH(B84,'Client Overview'!$H$5:$H$10,0))*30.4375,"Yellow","Green")))</x:f>
        <x:v>Green</x:v>
      </x:c>
    </x:row>
    <x:row r="85" ht="22" customHeight="1">
      <x:c r="A85" s="159" t="str">
        <x:f>INDEX('Client Overview'!$A$6:$A$40,INT((ROW()-16)/6)+1)</x:f>
        <x:v>Organization 12</x:v>
      </x:c>
      <x:c r="B85" s="160" t="str">
        <x:f>INDEX('Client Overview'!$B$5:$G$5,1,MOD(ROW()-16,6)+1)</x:f>
        <x:v>CSIRP Tabletop Completion</x:v>
      </x:c>
      <x:c r="C85" s="170" t="n">
        <x:f>IFERROR(INDEX('Client Overview'!$B$6:$G$40,MATCH(A85,'Client Overview'!$A$6:$A$40,0),MATCH(B85,'Client Overview'!$B$5:$G$5,0)),"")</x:f>
        <x:v>45214</x:v>
      </x:c>
      <x:c r="D85" s="173" t="n">
        <x:f>IFERROR(INDEX('Client Overview'!$I$5:$I$10,MATCH(B85,'Client Overview'!$H$5:$H$10,0)),"")</x:f>
        <x:v>36</x:v>
      </x:c>
      <x:c r="E85" s="170" t="n">
        <x:f>IF(OR(C85="",D85=""),"",EDATE(C85,D85))</x:f>
        <x:v>46310</x:v>
      </x:c>
      <x:c r="F85" s="173" t="n">
        <x:f>IF(E85="","",E85-TODAY())</x:f>
        <x:v>57</x:v>
      </x:c>
      <x:c r="G85" s="166" t="str">
        <x:f>IF(E85="","No Date",IF(F85&lt;=INDEX('Client Overview'!$K$5:$K$10,MATCH(B85,'Client Overview'!$H$5:$H$10,0))*30.4375,"Red",IF(F85&lt;=INDEX('Client Overview'!$J$5:$J$10,MATCH(B85,'Client Overview'!$H$5:$H$10,0))*30.4375,"Yellow","Green")))</x:f>
        <x:v>Red</x:v>
      </x:c>
    </x:row>
    <x:row r="86" ht="22" customHeight="1">
      <x:c r="A86" s="159" t="str">
        <x:f>INDEX('Client Overview'!$A$6:$A$40,INT((ROW()-16)/6)+1)</x:f>
        <x:v>Organization 12</x:v>
      </x:c>
      <x:c r="B86" s="160" t="str">
        <x:f>INDEX('Client Overview'!$B$5:$G$5,1,MOD(ROW()-16,6)+1)</x:f>
        <x:v>RSAW Evidence Tracker</x:v>
      </x:c>
      <x:c r="C86" s="170" t="n">
        <x:f>IFERROR(INDEX('Client Overview'!$B$6:$G$40,MATCH(A86,'Client Overview'!$A$6:$A$40,0),MATCH(B86,'Client Overview'!$B$5:$G$5,0)),"")</x:f>
        <x:v>46174</x:v>
      </x:c>
      <x:c r="D86" s="173" t="n">
        <x:f>IFERROR(INDEX('Client Overview'!$I$5:$I$10,MATCH(B86,'Client Overview'!$H$5:$H$10,0)),"")</x:f>
        <x:v>12</x:v>
      </x:c>
      <x:c r="E86" s="170" t="n">
        <x:f>IF(OR(C86="",D86=""),"",EDATE(C86,D86))</x:f>
        <x:v>46539</x:v>
      </x:c>
      <x:c r="F86" s="173" t="n">
        <x:f>IF(E86="","",E86-TODAY())</x:f>
        <x:v>286</x:v>
      </x:c>
      <x:c r="G86" s="166" t="str">
        <x:f>IF(E86="","No Date",IF(F86&lt;=INDEX('Client Overview'!$K$5:$K$10,MATCH(B86,'Client Overview'!$H$5:$H$10,0))*30.4375,"Red",IF(F86&lt;=INDEX('Client Overview'!$J$5:$J$10,MATCH(B86,'Client Overview'!$H$5:$H$10,0))*30.4375,"Yellow","Green")))</x:f>
        <x:v>Green</x:v>
      </x:c>
    </x:row>
    <x:row r="87" ht="22" customHeight="1">
      <x:c r="A87" s="159" t="str">
        <x:f>INDEX('Client Overview'!$A$6:$A$40,INT((ROW()-16)/6)+1)</x:f>
        <x:v>Organization 12</x:v>
      </x:c>
      <x:c r="B87" s="160" t="str">
        <x:f>INDEX('Client Overview'!$B$5:$G$5,1,MOD(ROW()-16,6)+1)</x:f>
        <x:v>CIP Monthly Questions</x:v>
      </x:c>
      <x:c r="C87" s="170" t="str">
        <x:f>IFERROR(INDEX('Client Overview'!$B$6:$G$40,MATCH(A87,'Client Overview'!$A$6:$A$40,0),MATCH(B87,'Client Overview'!$B$5:$G$5,0)),"")</x:f>
      </x:c>
      <x:c r="D87" s="173" t="n">
        <x:f>IFERROR(INDEX('Client Overview'!$I$5:$I$10,MATCH(B87,'Client Overview'!$H$5:$H$10,0)),"")</x:f>
        <x:v>1</x:v>
      </x:c>
      <x:c r="E87" s="170" t="str">
        <x:f>IF(OR(C87="",D87=""),"",EDATE(C87,D87))</x:f>
      </x:c>
      <x:c r="F87" s="173" t="str">
        <x:f>IF(E87="","",E87-TODAY())</x:f>
      </x:c>
      <x:c r="G87" s="166" t="str">
        <x:f>IF(E87="","No Date",IF(F87&lt;=INDEX('Client Overview'!$K$5:$K$10,MATCH(B87,'Client Overview'!$H$5:$H$10,0))*30.4375,"Red",IF(F87&lt;=INDEX('Client Overview'!$J$5:$J$10,MATCH(B87,'Client Overview'!$H$5:$H$10,0))*30.4375,"Yellow","Green")))</x:f>
        <x:v>No Date</x:v>
      </x:c>
    </x:row>
    <x:row r="88" ht="22" customHeight="1">
      <x:c r="A88" s="159" t="str">
        <x:f>INDEX('Client Overview'!$A$6:$A$40,INT((ROW()-16)/6)+1)</x:f>
        <x:v>Organization 13</x:v>
      </x:c>
      <x:c r="B88" s="160" t="str">
        <x:f>INDEX('Client Overview'!$B$5:$G$5,1,MOD(ROW()-16,6)+1)</x:f>
        <x:v>Policy #1</x:v>
      </x:c>
      <x:c r="C88" s="170" t="n">
        <x:f>IFERROR(INDEX('Client Overview'!$B$6:$G$40,MATCH(A88,'Client Overview'!$A$6:$A$40,0),MATCH(B88,'Client Overview'!$B$5:$G$5,0)),"")</x:f>
        <x:v>46037</x:v>
      </x:c>
      <x:c r="D88" s="173" t="n">
        <x:f>IFERROR(INDEX('Client Overview'!$I$5:$I$10,MATCH(B88,'Client Overview'!$H$5:$H$10,0)),"")</x:f>
        <x:v>15</x:v>
      </x:c>
      <x:c r="E88" s="170" t="n">
        <x:f>IF(OR(C88="",D88=""),"",EDATE(C88,D88))</x:f>
        <x:v>46492</x:v>
      </x:c>
      <x:c r="F88" s="173" t="n">
        <x:f>IF(E88="","",E88-TODAY())</x:f>
        <x:v>239</x:v>
      </x:c>
      <x:c r="G88" s="166" t="str">
        <x:f>IF(E88="","No Date",IF(F88&lt;=INDEX('Client Overview'!$K$5:$K$10,MATCH(B88,'Client Overview'!$H$5:$H$10,0))*30.4375,"Red",IF(F88&lt;=INDEX('Client Overview'!$J$5:$J$10,MATCH(B88,'Client Overview'!$H$5:$H$10,0))*30.4375,"Yellow","Green")))</x:f>
        <x:v>Green</x:v>
      </x:c>
    </x:row>
    <x:row r="89" ht="22" customHeight="1">
      <x:c r="A89" s="159" t="str">
        <x:f>INDEX('Client Overview'!$A$6:$A$40,INT((ROW()-16)/6)+1)</x:f>
        <x:v>Organization 13</x:v>
      </x:c>
      <x:c r="B89" s="160" t="str">
        <x:f>INDEX('Client Overview'!$B$5:$G$5,1,MOD(ROW()-16,6)+1)</x:f>
        <x:v>Policy #2–7</x:v>
      </x:c>
      <x:c r="C89" s="170" t="n">
        <x:f>IFERROR(INDEX('Client Overview'!$B$6:$G$40,MATCH(A89,'Client Overview'!$A$6:$A$40,0),MATCH(B89,'Client Overview'!$B$5:$G$5,0)),"")</x:f>
        <x:v>46037</x:v>
      </x:c>
      <x:c r="D89" s="173" t="n">
        <x:f>IFERROR(INDEX('Client Overview'!$I$5:$I$10,MATCH(B89,'Client Overview'!$H$5:$H$10,0)),"")</x:f>
        <x:v>15</x:v>
      </x:c>
      <x:c r="E89" s="170" t="n">
        <x:f>IF(OR(C89="",D89=""),"",EDATE(C89,D89))</x:f>
        <x:v>46492</x:v>
      </x:c>
      <x:c r="F89" s="173" t="n">
        <x:f>IF(E89="","",E89-TODAY())</x:f>
        <x:v>239</x:v>
      </x:c>
      <x:c r="G89" s="166" t="str">
        <x:f>IF(E89="","No Date",IF(F89&lt;=INDEX('Client Overview'!$K$5:$K$10,MATCH(B89,'Client Overview'!$H$5:$H$10,0))*30.4375,"Red",IF(F89&lt;=INDEX('Client Overview'!$J$5:$J$10,MATCH(B89,'Client Overview'!$H$5:$H$10,0))*30.4375,"Yellow","Green")))</x:f>
        <x:v>Green</x:v>
      </x:c>
    </x:row>
    <x:row r="90" ht="22" customHeight="1">
      <x:c r="A90" s="159" t="str">
        <x:f>INDEX('Client Overview'!$A$6:$A$40,INT((ROW()-16)/6)+1)</x:f>
        <x:v>Organization 13</x:v>
      </x:c>
      <x:c r="B90" s="160" t="str">
        <x:f>INDEX('Client Overview'!$B$5:$G$5,1,MOD(ROW()-16,6)+1)</x:f>
        <x:v>Annual Review</x:v>
      </x:c>
      <x:c r="C90" s="170" t="n">
        <x:f>IFERROR(INDEX('Client Overview'!$B$6:$G$40,MATCH(A90,'Client Overview'!$A$6:$A$40,0),MATCH(B90,'Client Overview'!$B$5:$G$5,0)),"")</x:f>
        <x:v>46037</x:v>
      </x:c>
      <x:c r="D90" s="173" t="n">
        <x:f>IFERROR(INDEX('Client Overview'!$I$5:$I$10,MATCH(B90,'Client Overview'!$H$5:$H$10,0)),"")</x:f>
        <x:v>15</x:v>
      </x:c>
      <x:c r="E90" s="170" t="n">
        <x:f>IF(OR(C90="",D90=""),"",EDATE(C90,D90))</x:f>
        <x:v>46492</x:v>
      </x:c>
      <x:c r="F90" s="173" t="n">
        <x:f>IF(E90="","",E90-TODAY())</x:f>
        <x:v>239</x:v>
      </x:c>
      <x:c r="G90" s="166" t="str">
        <x:f>IF(E90="","No Date",IF(F90&lt;=INDEX('Client Overview'!$K$5:$K$10,MATCH(B90,'Client Overview'!$H$5:$H$10,0))*30.4375,"Red",IF(F90&lt;=INDEX('Client Overview'!$J$5:$J$10,MATCH(B90,'Client Overview'!$H$5:$H$10,0))*30.4375,"Yellow","Green")))</x:f>
        <x:v>Green</x:v>
      </x:c>
    </x:row>
    <x:row r="91" ht="22" customHeight="1">
      <x:c r="A91" s="159" t="str">
        <x:f>INDEX('Client Overview'!$A$6:$A$40,INT((ROW()-16)/6)+1)</x:f>
        <x:v>Organization 13</x:v>
      </x:c>
      <x:c r="B91" s="160" t="str">
        <x:f>INDEX('Client Overview'!$B$5:$G$5,1,MOD(ROW()-16,6)+1)</x:f>
        <x:v>CSIRP Tabletop Completion</x:v>
      </x:c>
      <x:c r="C91" s="170" t="n">
        <x:f>IFERROR(INDEX('Client Overview'!$B$6:$G$40,MATCH(A91,'Client Overview'!$A$6:$A$40,0),MATCH(B91,'Client Overview'!$B$5:$G$5,0)),"")</x:f>
        <x:v>45214</x:v>
      </x:c>
      <x:c r="D91" s="173" t="n">
        <x:f>IFERROR(INDEX('Client Overview'!$I$5:$I$10,MATCH(B91,'Client Overview'!$H$5:$H$10,0)),"")</x:f>
        <x:v>36</x:v>
      </x:c>
      <x:c r="E91" s="170" t="n">
        <x:f>IF(OR(C91="",D91=""),"",EDATE(C91,D91))</x:f>
        <x:v>46310</x:v>
      </x:c>
      <x:c r="F91" s="173" t="n">
        <x:f>IF(E91="","",E91-TODAY())</x:f>
        <x:v>57</x:v>
      </x:c>
      <x:c r="G91" s="166" t="str">
        <x:f>IF(E91="","No Date",IF(F91&lt;=INDEX('Client Overview'!$K$5:$K$10,MATCH(B91,'Client Overview'!$H$5:$H$10,0))*30.4375,"Red",IF(F91&lt;=INDEX('Client Overview'!$J$5:$J$10,MATCH(B91,'Client Overview'!$H$5:$H$10,0))*30.4375,"Yellow","Green")))</x:f>
        <x:v>Red</x:v>
      </x:c>
    </x:row>
    <x:row r="92" ht="22" customHeight="1">
      <x:c r="A92" s="159" t="str">
        <x:f>INDEX('Client Overview'!$A$6:$A$40,INT((ROW()-16)/6)+1)</x:f>
        <x:v>Organization 13</x:v>
      </x:c>
      <x:c r="B92" s="160" t="str">
        <x:f>INDEX('Client Overview'!$B$5:$G$5,1,MOD(ROW()-16,6)+1)</x:f>
        <x:v>RSAW Evidence Tracker</x:v>
      </x:c>
      <x:c r="C92" s="170" t="n">
        <x:f>IFERROR(INDEX('Client Overview'!$B$6:$G$40,MATCH(A92,'Client Overview'!$A$6:$A$40,0),MATCH(B92,'Client Overview'!$B$5:$G$5,0)),"")</x:f>
        <x:v>46174</x:v>
      </x:c>
      <x:c r="D92" s="173" t="n">
        <x:f>IFERROR(INDEX('Client Overview'!$I$5:$I$10,MATCH(B92,'Client Overview'!$H$5:$H$10,0)),"")</x:f>
        <x:v>12</x:v>
      </x:c>
      <x:c r="E92" s="170" t="n">
        <x:f>IF(OR(C92="",D92=""),"",EDATE(C92,D92))</x:f>
        <x:v>46539</x:v>
      </x:c>
      <x:c r="F92" s="173" t="n">
        <x:f>IF(E92="","",E92-TODAY())</x:f>
        <x:v>286</x:v>
      </x:c>
      <x:c r="G92" s="166" t="str">
        <x:f>IF(E92="","No Date",IF(F92&lt;=INDEX('Client Overview'!$K$5:$K$10,MATCH(B92,'Client Overview'!$H$5:$H$10,0))*30.4375,"Red",IF(F92&lt;=INDEX('Client Overview'!$J$5:$J$10,MATCH(B92,'Client Overview'!$H$5:$H$10,0))*30.4375,"Yellow","Green")))</x:f>
        <x:v>Green</x:v>
      </x:c>
    </x:row>
    <x:row r="93" ht="22" customHeight="1">
      <x:c r="A93" s="159" t="str">
        <x:f>INDEX('Client Overview'!$A$6:$A$40,INT((ROW()-16)/6)+1)</x:f>
        <x:v>Organization 13</x:v>
      </x:c>
      <x:c r="B93" s="160" t="str">
        <x:f>INDEX('Client Overview'!$B$5:$G$5,1,MOD(ROW()-16,6)+1)</x:f>
        <x:v>CIP Monthly Questions</x:v>
      </x:c>
      <x:c r="C93" s="170" t="str">
        <x:f>IFERROR(INDEX('Client Overview'!$B$6:$G$40,MATCH(A93,'Client Overview'!$A$6:$A$40,0),MATCH(B93,'Client Overview'!$B$5:$G$5,0)),"")</x:f>
      </x:c>
      <x:c r="D93" s="173" t="n">
        <x:f>IFERROR(INDEX('Client Overview'!$I$5:$I$10,MATCH(B93,'Client Overview'!$H$5:$H$10,0)),"")</x:f>
        <x:v>1</x:v>
      </x:c>
      <x:c r="E93" s="170" t="str">
        <x:f>IF(OR(C93="",D93=""),"",EDATE(C93,D93))</x:f>
      </x:c>
      <x:c r="F93" s="173" t="str">
        <x:f>IF(E93="","",E93-TODAY())</x:f>
      </x:c>
      <x:c r="G93" s="166" t="str">
        <x:f>IF(E93="","No Date",IF(F93&lt;=INDEX('Client Overview'!$K$5:$K$10,MATCH(B93,'Client Overview'!$H$5:$H$10,0))*30.4375,"Red",IF(F93&lt;=INDEX('Client Overview'!$J$5:$J$10,MATCH(B93,'Client Overview'!$H$5:$H$10,0))*30.4375,"Yellow","Green")))</x:f>
        <x:v>No Date</x:v>
      </x:c>
    </x:row>
    <x:row r="94" ht="22" customHeight="1">
      <x:c r="A94" s="159" t="str">
        <x:f>INDEX('Client Overview'!$A$6:$A$40,INT((ROW()-16)/6)+1)</x:f>
        <x:v>Organization 14</x:v>
      </x:c>
      <x:c r="B94" s="160" t="str">
        <x:f>INDEX('Client Overview'!$B$5:$G$5,1,MOD(ROW()-16,6)+1)</x:f>
        <x:v>Policy #1</x:v>
      </x:c>
      <x:c r="C94" s="170" t="n">
        <x:f>IFERROR(INDEX('Client Overview'!$B$6:$G$40,MATCH(A94,'Client Overview'!$A$6:$A$40,0),MATCH(B94,'Client Overview'!$B$5:$G$5,0)),"")</x:f>
        <x:v>46037</x:v>
      </x:c>
      <x:c r="D94" s="173" t="n">
        <x:f>IFERROR(INDEX('Client Overview'!$I$5:$I$10,MATCH(B94,'Client Overview'!$H$5:$H$10,0)),"")</x:f>
        <x:v>15</x:v>
      </x:c>
      <x:c r="E94" s="170" t="n">
        <x:f>IF(OR(C94="",D94=""),"",EDATE(C94,D94))</x:f>
        <x:v>46492</x:v>
      </x:c>
      <x:c r="F94" s="173" t="n">
        <x:f>IF(E94="","",E94-TODAY())</x:f>
        <x:v>239</x:v>
      </x:c>
      <x:c r="G94" s="166" t="str">
        <x:f>IF(E94="","No Date",IF(F94&lt;=INDEX('Client Overview'!$K$5:$K$10,MATCH(B94,'Client Overview'!$H$5:$H$10,0))*30.4375,"Red",IF(F94&lt;=INDEX('Client Overview'!$J$5:$J$10,MATCH(B94,'Client Overview'!$H$5:$H$10,0))*30.4375,"Yellow","Green")))</x:f>
        <x:v>Green</x:v>
      </x:c>
    </x:row>
    <x:row r="95" ht="22" customHeight="1">
      <x:c r="A95" s="159" t="str">
        <x:f>INDEX('Client Overview'!$A$6:$A$40,INT((ROW()-16)/6)+1)</x:f>
        <x:v>Organization 14</x:v>
      </x:c>
      <x:c r="B95" s="160" t="str">
        <x:f>INDEX('Client Overview'!$B$5:$G$5,1,MOD(ROW()-16,6)+1)</x:f>
        <x:v>Policy #2–7</x:v>
      </x:c>
      <x:c r="C95" s="170" t="n">
        <x:f>IFERROR(INDEX('Client Overview'!$B$6:$G$40,MATCH(A95,'Client Overview'!$A$6:$A$40,0),MATCH(B95,'Client Overview'!$B$5:$G$5,0)),"")</x:f>
        <x:v>46037</x:v>
      </x:c>
      <x:c r="D95" s="173" t="n">
        <x:f>IFERROR(INDEX('Client Overview'!$I$5:$I$10,MATCH(B95,'Client Overview'!$H$5:$H$10,0)),"")</x:f>
        <x:v>15</x:v>
      </x:c>
      <x:c r="E95" s="170" t="n">
        <x:f>IF(OR(C95="",D95=""),"",EDATE(C95,D95))</x:f>
        <x:v>46492</x:v>
      </x:c>
      <x:c r="F95" s="173" t="n">
        <x:f>IF(E95="","",E95-TODAY())</x:f>
        <x:v>239</x:v>
      </x:c>
      <x:c r="G95" s="166" t="str">
        <x:f>IF(E95="","No Date",IF(F95&lt;=INDEX('Client Overview'!$K$5:$K$10,MATCH(B95,'Client Overview'!$H$5:$H$10,0))*30.4375,"Red",IF(F95&lt;=INDEX('Client Overview'!$J$5:$J$10,MATCH(B95,'Client Overview'!$H$5:$H$10,0))*30.4375,"Yellow","Green")))</x:f>
        <x:v>Green</x:v>
      </x:c>
    </x:row>
    <x:row r="96" ht="22" customHeight="1">
      <x:c r="A96" s="159" t="str">
        <x:f>INDEX('Client Overview'!$A$6:$A$40,INT((ROW()-16)/6)+1)</x:f>
        <x:v>Organization 14</x:v>
      </x:c>
      <x:c r="B96" s="160" t="str">
        <x:f>INDEX('Client Overview'!$B$5:$G$5,1,MOD(ROW()-16,6)+1)</x:f>
        <x:v>Annual Review</x:v>
      </x:c>
      <x:c r="C96" s="170" t="n">
        <x:f>IFERROR(INDEX('Client Overview'!$B$6:$G$40,MATCH(A96,'Client Overview'!$A$6:$A$40,0),MATCH(B96,'Client Overview'!$B$5:$G$5,0)),"")</x:f>
        <x:v>46037</x:v>
      </x:c>
      <x:c r="D96" s="173" t="n">
        <x:f>IFERROR(INDEX('Client Overview'!$I$5:$I$10,MATCH(B96,'Client Overview'!$H$5:$H$10,0)),"")</x:f>
        <x:v>15</x:v>
      </x:c>
      <x:c r="E96" s="170" t="n">
        <x:f>IF(OR(C96="",D96=""),"",EDATE(C96,D96))</x:f>
        <x:v>46492</x:v>
      </x:c>
      <x:c r="F96" s="173" t="n">
        <x:f>IF(E96="","",E96-TODAY())</x:f>
        <x:v>239</x:v>
      </x:c>
      <x:c r="G96" s="166" t="str">
        <x:f>IF(E96="","No Date",IF(F96&lt;=INDEX('Client Overview'!$K$5:$K$10,MATCH(B96,'Client Overview'!$H$5:$H$10,0))*30.4375,"Red",IF(F96&lt;=INDEX('Client Overview'!$J$5:$J$10,MATCH(B96,'Client Overview'!$H$5:$H$10,0))*30.4375,"Yellow","Green")))</x:f>
        <x:v>Green</x:v>
      </x:c>
    </x:row>
    <x:row r="97" ht="22" customHeight="1">
      <x:c r="A97" s="159" t="str">
        <x:f>INDEX('Client Overview'!$A$6:$A$40,INT((ROW()-16)/6)+1)</x:f>
        <x:v>Organization 14</x:v>
      </x:c>
      <x:c r="B97" s="160" t="str">
        <x:f>INDEX('Client Overview'!$B$5:$G$5,1,MOD(ROW()-16,6)+1)</x:f>
        <x:v>CSIRP Tabletop Completion</x:v>
      </x:c>
      <x:c r="C97" s="170" t="n">
        <x:f>IFERROR(INDEX('Client Overview'!$B$6:$G$40,MATCH(A97,'Client Overview'!$A$6:$A$40,0),MATCH(B97,'Client Overview'!$B$5:$G$5,0)),"")</x:f>
        <x:v>45214</x:v>
      </x:c>
      <x:c r="D97" s="173" t="n">
        <x:f>IFERROR(INDEX('Client Overview'!$I$5:$I$10,MATCH(B97,'Client Overview'!$H$5:$H$10,0)),"")</x:f>
        <x:v>36</x:v>
      </x:c>
      <x:c r="E97" s="170" t="n">
        <x:f>IF(OR(C97="",D97=""),"",EDATE(C97,D97))</x:f>
        <x:v>46310</x:v>
      </x:c>
      <x:c r="F97" s="173" t="n">
        <x:f>IF(E97="","",E97-TODAY())</x:f>
        <x:v>57</x:v>
      </x:c>
      <x:c r="G97" s="166" t="str">
        <x:f>IF(E97="","No Date",IF(F97&lt;=INDEX('Client Overview'!$K$5:$K$10,MATCH(B97,'Client Overview'!$H$5:$H$10,0))*30.4375,"Red",IF(F97&lt;=INDEX('Client Overview'!$J$5:$J$10,MATCH(B97,'Client Overview'!$H$5:$H$10,0))*30.4375,"Yellow","Green")))</x:f>
        <x:v>Red</x:v>
      </x:c>
    </x:row>
    <x:row r="98" ht="22" customHeight="1">
      <x:c r="A98" s="159" t="str">
        <x:f>INDEX('Client Overview'!$A$6:$A$40,INT((ROW()-16)/6)+1)</x:f>
        <x:v>Organization 14</x:v>
      </x:c>
      <x:c r="B98" s="160" t="str">
        <x:f>INDEX('Client Overview'!$B$5:$G$5,1,MOD(ROW()-16,6)+1)</x:f>
        <x:v>RSAW Evidence Tracker</x:v>
      </x:c>
      <x:c r="C98" s="170" t="n">
        <x:f>IFERROR(INDEX('Client Overview'!$B$6:$G$40,MATCH(A98,'Client Overview'!$A$6:$A$40,0),MATCH(B98,'Client Overview'!$B$5:$G$5,0)),"")</x:f>
        <x:v>46174</x:v>
      </x:c>
      <x:c r="D98" s="173" t="n">
        <x:f>IFERROR(INDEX('Client Overview'!$I$5:$I$10,MATCH(B98,'Client Overview'!$H$5:$H$10,0)),"")</x:f>
        <x:v>12</x:v>
      </x:c>
      <x:c r="E98" s="170" t="n">
        <x:f>IF(OR(C98="",D98=""),"",EDATE(C98,D98))</x:f>
        <x:v>46539</x:v>
      </x:c>
      <x:c r="F98" s="173" t="n">
        <x:f>IF(E98="","",E98-TODAY())</x:f>
        <x:v>286</x:v>
      </x:c>
      <x:c r="G98" s="166" t="str">
        <x:f>IF(E98="","No Date",IF(F98&lt;=INDEX('Client Overview'!$K$5:$K$10,MATCH(B98,'Client Overview'!$H$5:$H$10,0))*30.4375,"Red",IF(F98&lt;=INDEX('Client Overview'!$J$5:$J$10,MATCH(B98,'Client Overview'!$H$5:$H$10,0))*30.4375,"Yellow","Green")))</x:f>
        <x:v>Green</x:v>
      </x:c>
    </x:row>
    <x:row r="99" ht="22" customHeight="1">
      <x:c r="A99" s="159" t="str">
        <x:f>INDEX('Client Overview'!$A$6:$A$40,INT((ROW()-16)/6)+1)</x:f>
        <x:v>Organization 14</x:v>
      </x:c>
      <x:c r="B99" s="160" t="str">
        <x:f>INDEX('Client Overview'!$B$5:$G$5,1,MOD(ROW()-16,6)+1)</x:f>
        <x:v>CIP Monthly Questions</x:v>
      </x:c>
      <x:c r="C99" s="170" t="str">
        <x:f>IFERROR(INDEX('Client Overview'!$B$6:$G$40,MATCH(A99,'Client Overview'!$A$6:$A$40,0),MATCH(B99,'Client Overview'!$B$5:$G$5,0)),"")</x:f>
      </x:c>
      <x:c r="D99" s="173" t="n">
        <x:f>IFERROR(INDEX('Client Overview'!$I$5:$I$10,MATCH(B99,'Client Overview'!$H$5:$H$10,0)),"")</x:f>
        <x:v>1</x:v>
      </x:c>
      <x:c r="E99" s="170" t="str">
        <x:f>IF(OR(C99="",D99=""),"",EDATE(C99,D99))</x:f>
      </x:c>
      <x:c r="F99" s="173" t="str">
        <x:f>IF(E99="","",E99-TODAY())</x:f>
      </x:c>
      <x:c r="G99" s="166" t="str">
        <x:f>IF(E99="","No Date",IF(F99&lt;=INDEX('Client Overview'!$K$5:$K$10,MATCH(B99,'Client Overview'!$H$5:$H$10,0))*30.4375,"Red",IF(F99&lt;=INDEX('Client Overview'!$J$5:$J$10,MATCH(B99,'Client Overview'!$H$5:$H$10,0))*30.4375,"Yellow","Green")))</x:f>
        <x:v>No Date</x:v>
      </x:c>
    </x:row>
    <x:row r="100" ht="22" customHeight="1">
      <x:c r="A100" s="159" t="str">
        <x:f>INDEX('Client Overview'!$A$6:$A$40,INT((ROW()-16)/6)+1)</x:f>
        <x:v>Organization 15</x:v>
      </x:c>
      <x:c r="B100" s="160" t="str">
        <x:f>INDEX('Client Overview'!$B$5:$G$5,1,MOD(ROW()-16,6)+1)</x:f>
        <x:v>Policy #1</x:v>
      </x:c>
      <x:c r="C100" s="170" t="n">
        <x:f>IFERROR(INDEX('Client Overview'!$B$6:$G$40,MATCH(A100,'Client Overview'!$A$6:$A$40,0),MATCH(B100,'Client Overview'!$B$5:$G$5,0)),"")</x:f>
        <x:v>46037</x:v>
      </x:c>
      <x:c r="D100" s="173" t="n">
        <x:f>IFERROR(INDEX('Client Overview'!$I$5:$I$10,MATCH(B100,'Client Overview'!$H$5:$H$10,0)),"")</x:f>
        <x:v>15</x:v>
      </x:c>
      <x:c r="E100" s="170" t="n">
        <x:f>IF(OR(C100="",D100=""),"",EDATE(C100,D100))</x:f>
        <x:v>46492</x:v>
      </x:c>
      <x:c r="F100" s="173" t="n">
        <x:f>IF(E100="","",E100-TODAY())</x:f>
        <x:v>239</x:v>
      </x:c>
      <x:c r="G100" s="166" t="str">
        <x:f>IF(E100="","No Date",IF(F100&lt;=INDEX('Client Overview'!$K$5:$K$10,MATCH(B100,'Client Overview'!$H$5:$H$10,0))*30.4375,"Red",IF(F100&lt;=INDEX('Client Overview'!$J$5:$J$10,MATCH(B100,'Client Overview'!$H$5:$H$10,0))*30.4375,"Yellow","Green")))</x:f>
        <x:v>Green</x:v>
      </x:c>
    </x:row>
    <x:row r="101" ht="22" customHeight="1">
      <x:c r="A101" s="159" t="str">
        <x:f>INDEX('Client Overview'!$A$6:$A$40,INT((ROW()-16)/6)+1)</x:f>
        <x:v>Organization 15</x:v>
      </x:c>
      <x:c r="B101" s="160" t="str">
        <x:f>INDEX('Client Overview'!$B$5:$G$5,1,MOD(ROW()-16,6)+1)</x:f>
        <x:v>Policy #2–7</x:v>
      </x:c>
      <x:c r="C101" s="170" t="n">
        <x:f>IFERROR(INDEX('Client Overview'!$B$6:$G$40,MATCH(A101,'Client Overview'!$A$6:$A$40,0),MATCH(B101,'Client Overview'!$B$5:$G$5,0)),"")</x:f>
        <x:v>46037</x:v>
      </x:c>
      <x:c r="D101" s="173" t="n">
        <x:f>IFERROR(INDEX('Client Overview'!$I$5:$I$10,MATCH(B101,'Client Overview'!$H$5:$H$10,0)),"")</x:f>
        <x:v>15</x:v>
      </x:c>
      <x:c r="E101" s="170" t="n">
        <x:f>IF(OR(C101="",D101=""),"",EDATE(C101,D101))</x:f>
        <x:v>46492</x:v>
      </x:c>
      <x:c r="F101" s="173" t="n">
        <x:f>IF(E101="","",E101-TODAY())</x:f>
        <x:v>239</x:v>
      </x:c>
      <x:c r="G101" s="166" t="str">
        <x:f>IF(E101="","No Date",IF(F101&lt;=INDEX('Client Overview'!$K$5:$K$10,MATCH(B101,'Client Overview'!$H$5:$H$10,0))*30.4375,"Red",IF(F101&lt;=INDEX('Client Overview'!$J$5:$J$10,MATCH(B101,'Client Overview'!$H$5:$H$10,0))*30.4375,"Yellow","Green")))</x:f>
        <x:v>Green</x:v>
      </x:c>
    </x:row>
    <x:row r="102" ht="22" customHeight="1">
      <x:c r="A102" s="159" t="str">
        <x:f>INDEX('Client Overview'!$A$6:$A$40,INT((ROW()-16)/6)+1)</x:f>
        <x:v>Organization 15</x:v>
      </x:c>
      <x:c r="B102" s="160" t="str">
        <x:f>INDEX('Client Overview'!$B$5:$G$5,1,MOD(ROW()-16,6)+1)</x:f>
        <x:v>Annual Review</x:v>
      </x:c>
      <x:c r="C102" s="170" t="n">
        <x:f>IFERROR(INDEX('Client Overview'!$B$6:$G$40,MATCH(A102,'Client Overview'!$A$6:$A$40,0),MATCH(B102,'Client Overview'!$B$5:$G$5,0)),"")</x:f>
        <x:v>46037</x:v>
      </x:c>
      <x:c r="D102" s="173" t="n">
        <x:f>IFERROR(INDEX('Client Overview'!$I$5:$I$10,MATCH(B102,'Client Overview'!$H$5:$H$10,0)),"")</x:f>
        <x:v>15</x:v>
      </x:c>
      <x:c r="E102" s="170" t="n">
        <x:f>IF(OR(C102="",D102=""),"",EDATE(C102,D102))</x:f>
        <x:v>46492</x:v>
      </x:c>
      <x:c r="F102" s="173" t="n">
        <x:f>IF(E102="","",E102-TODAY())</x:f>
        <x:v>239</x:v>
      </x:c>
      <x:c r="G102" s="166" t="str">
        <x:f>IF(E102="","No Date",IF(F102&lt;=INDEX('Client Overview'!$K$5:$K$10,MATCH(B102,'Client Overview'!$H$5:$H$10,0))*30.4375,"Red",IF(F102&lt;=INDEX('Client Overview'!$J$5:$J$10,MATCH(B102,'Client Overview'!$H$5:$H$10,0))*30.4375,"Yellow","Green")))</x:f>
        <x:v>Green</x:v>
      </x:c>
    </x:row>
    <x:row r="103" ht="22" customHeight="1">
      <x:c r="A103" s="159" t="str">
        <x:f>INDEX('Client Overview'!$A$6:$A$40,INT((ROW()-16)/6)+1)</x:f>
        <x:v>Organization 15</x:v>
      </x:c>
      <x:c r="B103" s="160" t="str">
        <x:f>INDEX('Client Overview'!$B$5:$G$5,1,MOD(ROW()-16,6)+1)</x:f>
        <x:v>CSIRP Tabletop Completion</x:v>
      </x:c>
      <x:c r="C103" s="170" t="n">
        <x:f>IFERROR(INDEX('Client Overview'!$B$6:$G$40,MATCH(A103,'Client Overview'!$A$6:$A$40,0),MATCH(B103,'Client Overview'!$B$5:$G$5,0)),"")</x:f>
        <x:v>45214</x:v>
      </x:c>
      <x:c r="D103" s="173" t="n">
        <x:f>IFERROR(INDEX('Client Overview'!$I$5:$I$10,MATCH(B103,'Client Overview'!$H$5:$H$10,0)),"")</x:f>
        <x:v>36</x:v>
      </x:c>
      <x:c r="E103" s="170" t="n">
        <x:f>IF(OR(C103="",D103=""),"",EDATE(C103,D103))</x:f>
        <x:v>46310</x:v>
      </x:c>
      <x:c r="F103" s="173" t="n">
        <x:f>IF(E103="","",E103-TODAY())</x:f>
        <x:v>57</x:v>
      </x:c>
      <x:c r="G103" s="166" t="str">
        <x:f>IF(E103="","No Date",IF(F103&lt;=INDEX('Client Overview'!$K$5:$K$10,MATCH(B103,'Client Overview'!$H$5:$H$10,0))*30.4375,"Red",IF(F103&lt;=INDEX('Client Overview'!$J$5:$J$10,MATCH(B103,'Client Overview'!$H$5:$H$10,0))*30.4375,"Yellow","Green")))</x:f>
        <x:v>Red</x:v>
      </x:c>
    </x:row>
    <x:row r="104" ht="22" customHeight="1">
      <x:c r="A104" s="159" t="str">
        <x:f>INDEX('Client Overview'!$A$6:$A$40,INT((ROW()-16)/6)+1)</x:f>
        <x:v>Organization 15</x:v>
      </x:c>
      <x:c r="B104" s="160" t="str">
        <x:f>INDEX('Client Overview'!$B$5:$G$5,1,MOD(ROW()-16,6)+1)</x:f>
        <x:v>RSAW Evidence Tracker</x:v>
      </x:c>
      <x:c r="C104" s="170" t="n">
        <x:f>IFERROR(INDEX('Client Overview'!$B$6:$G$40,MATCH(A104,'Client Overview'!$A$6:$A$40,0),MATCH(B104,'Client Overview'!$B$5:$G$5,0)),"")</x:f>
        <x:v>46174</x:v>
      </x:c>
      <x:c r="D104" s="173" t="n">
        <x:f>IFERROR(INDEX('Client Overview'!$I$5:$I$10,MATCH(B104,'Client Overview'!$H$5:$H$10,0)),"")</x:f>
        <x:v>12</x:v>
      </x:c>
      <x:c r="E104" s="170" t="n">
        <x:f>IF(OR(C104="",D104=""),"",EDATE(C104,D104))</x:f>
        <x:v>46539</x:v>
      </x:c>
      <x:c r="F104" s="173" t="n">
        <x:f>IF(E104="","",E104-TODAY())</x:f>
        <x:v>286</x:v>
      </x:c>
      <x:c r="G104" s="166" t="str">
        <x:f>IF(E104="","No Date",IF(F104&lt;=INDEX('Client Overview'!$K$5:$K$10,MATCH(B104,'Client Overview'!$H$5:$H$10,0))*30.4375,"Red",IF(F104&lt;=INDEX('Client Overview'!$J$5:$J$10,MATCH(B104,'Client Overview'!$H$5:$H$10,0))*30.4375,"Yellow","Green")))</x:f>
        <x:v>Green</x:v>
      </x:c>
    </x:row>
    <x:row r="105" ht="22" customHeight="1">
      <x:c r="A105" s="159" t="str">
        <x:f>INDEX('Client Overview'!$A$6:$A$40,INT((ROW()-16)/6)+1)</x:f>
        <x:v>Organization 15</x:v>
      </x:c>
      <x:c r="B105" s="160" t="str">
        <x:f>INDEX('Client Overview'!$B$5:$G$5,1,MOD(ROW()-16,6)+1)</x:f>
        <x:v>CIP Monthly Questions</x:v>
      </x:c>
      <x:c r="C105" s="170" t="str">
        <x:f>IFERROR(INDEX('Client Overview'!$B$6:$G$40,MATCH(A105,'Client Overview'!$A$6:$A$40,0),MATCH(B105,'Client Overview'!$B$5:$G$5,0)),"")</x:f>
      </x:c>
      <x:c r="D105" s="173" t="n">
        <x:f>IFERROR(INDEX('Client Overview'!$I$5:$I$10,MATCH(B105,'Client Overview'!$H$5:$H$10,0)),"")</x:f>
        <x:v>1</x:v>
      </x:c>
      <x:c r="E105" s="170" t="str">
        <x:f>IF(OR(C105="",D105=""),"",EDATE(C105,D105))</x:f>
      </x:c>
      <x:c r="F105" s="173" t="str">
        <x:f>IF(E105="","",E105-TODAY())</x:f>
      </x:c>
      <x:c r="G105" s="166" t="str">
        <x:f>IF(E105="","No Date",IF(F105&lt;=INDEX('Client Overview'!$K$5:$K$10,MATCH(B105,'Client Overview'!$H$5:$H$10,0))*30.4375,"Red",IF(F105&lt;=INDEX('Client Overview'!$J$5:$J$10,MATCH(B105,'Client Overview'!$H$5:$H$10,0))*30.4375,"Yellow","Green")))</x:f>
        <x:v>No Date</x:v>
      </x:c>
    </x:row>
    <x:row r="106" ht="22" customHeight="1">
      <x:c r="A106" s="159" t="str">
        <x:f>INDEX('Client Overview'!$A$6:$A$40,INT((ROW()-16)/6)+1)</x:f>
        <x:v>Organization 16</x:v>
      </x:c>
      <x:c r="B106" s="160" t="str">
        <x:f>INDEX('Client Overview'!$B$5:$G$5,1,MOD(ROW()-16,6)+1)</x:f>
        <x:v>Policy #1</x:v>
      </x:c>
      <x:c r="C106" s="170" t="n">
        <x:f>IFERROR(INDEX('Client Overview'!$B$6:$G$40,MATCH(A106,'Client Overview'!$A$6:$A$40,0),MATCH(B106,'Client Overview'!$B$5:$G$5,0)),"")</x:f>
        <x:v>46037</x:v>
      </x:c>
      <x:c r="D106" s="173" t="n">
        <x:f>IFERROR(INDEX('Client Overview'!$I$5:$I$10,MATCH(B106,'Client Overview'!$H$5:$H$10,0)),"")</x:f>
        <x:v>15</x:v>
      </x:c>
      <x:c r="E106" s="170" t="n">
        <x:f>IF(OR(C106="",D106=""),"",EDATE(C106,D106))</x:f>
        <x:v>46492</x:v>
      </x:c>
      <x:c r="F106" s="173" t="n">
        <x:f>IF(E106="","",E106-TODAY())</x:f>
        <x:v>239</x:v>
      </x:c>
      <x:c r="G106" s="166" t="str">
        <x:f>IF(E106="","No Date",IF(F106&lt;=INDEX('Client Overview'!$K$5:$K$10,MATCH(B106,'Client Overview'!$H$5:$H$10,0))*30.4375,"Red",IF(F106&lt;=INDEX('Client Overview'!$J$5:$J$10,MATCH(B106,'Client Overview'!$H$5:$H$10,0))*30.4375,"Yellow","Green")))</x:f>
        <x:v>Green</x:v>
      </x:c>
    </x:row>
    <x:row r="107" ht="22" customHeight="1">
      <x:c r="A107" s="159" t="str">
        <x:f>INDEX('Client Overview'!$A$6:$A$40,INT((ROW()-16)/6)+1)</x:f>
        <x:v>Organization 16</x:v>
      </x:c>
      <x:c r="B107" s="160" t="str">
        <x:f>INDEX('Client Overview'!$B$5:$G$5,1,MOD(ROW()-16,6)+1)</x:f>
        <x:v>Policy #2–7</x:v>
      </x:c>
      <x:c r="C107" s="170" t="n">
        <x:f>IFERROR(INDEX('Client Overview'!$B$6:$G$40,MATCH(A107,'Client Overview'!$A$6:$A$40,0),MATCH(B107,'Client Overview'!$B$5:$G$5,0)),"")</x:f>
        <x:v>46037</x:v>
      </x:c>
      <x:c r="D107" s="173" t="n">
        <x:f>IFERROR(INDEX('Client Overview'!$I$5:$I$10,MATCH(B107,'Client Overview'!$H$5:$H$10,0)),"")</x:f>
        <x:v>15</x:v>
      </x:c>
      <x:c r="E107" s="170" t="n">
        <x:f>IF(OR(C107="",D107=""),"",EDATE(C107,D107))</x:f>
        <x:v>46492</x:v>
      </x:c>
      <x:c r="F107" s="173" t="n">
        <x:f>IF(E107="","",E107-TODAY())</x:f>
        <x:v>239</x:v>
      </x:c>
      <x:c r="G107" s="166" t="str">
        <x:f>IF(E107="","No Date",IF(F107&lt;=INDEX('Client Overview'!$K$5:$K$10,MATCH(B107,'Client Overview'!$H$5:$H$10,0))*30.4375,"Red",IF(F107&lt;=INDEX('Client Overview'!$J$5:$J$10,MATCH(B107,'Client Overview'!$H$5:$H$10,0))*30.4375,"Yellow","Green")))</x:f>
        <x:v>Green</x:v>
      </x:c>
    </x:row>
    <x:row r="108" ht="22" customHeight="1">
      <x:c r="A108" s="159" t="str">
        <x:f>INDEX('Client Overview'!$A$6:$A$40,INT((ROW()-16)/6)+1)</x:f>
        <x:v>Organization 16</x:v>
      </x:c>
      <x:c r="B108" s="160" t="str">
        <x:f>INDEX('Client Overview'!$B$5:$G$5,1,MOD(ROW()-16,6)+1)</x:f>
        <x:v>Annual Review</x:v>
      </x:c>
      <x:c r="C108" s="170" t="n">
        <x:f>IFERROR(INDEX('Client Overview'!$B$6:$G$40,MATCH(A108,'Client Overview'!$A$6:$A$40,0),MATCH(B108,'Client Overview'!$B$5:$G$5,0)),"")</x:f>
        <x:v>46037</x:v>
      </x:c>
      <x:c r="D108" s="173" t="n">
        <x:f>IFERROR(INDEX('Client Overview'!$I$5:$I$10,MATCH(B108,'Client Overview'!$H$5:$H$10,0)),"")</x:f>
        <x:v>15</x:v>
      </x:c>
      <x:c r="E108" s="170" t="n">
        <x:f>IF(OR(C108="",D108=""),"",EDATE(C108,D108))</x:f>
        <x:v>46492</x:v>
      </x:c>
      <x:c r="F108" s="173" t="n">
        <x:f>IF(E108="","",E108-TODAY())</x:f>
        <x:v>239</x:v>
      </x:c>
      <x:c r="G108" s="166" t="str">
        <x:f>IF(E108="","No Date",IF(F108&lt;=INDEX('Client Overview'!$K$5:$K$10,MATCH(B108,'Client Overview'!$H$5:$H$10,0))*30.4375,"Red",IF(F108&lt;=INDEX('Client Overview'!$J$5:$J$10,MATCH(B108,'Client Overview'!$H$5:$H$10,0))*30.4375,"Yellow","Green")))</x:f>
        <x:v>Green</x:v>
      </x:c>
    </x:row>
    <x:row r="109" ht="22" customHeight="1">
      <x:c r="A109" s="159" t="str">
        <x:f>INDEX('Client Overview'!$A$6:$A$40,INT((ROW()-16)/6)+1)</x:f>
        <x:v>Organization 16</x:v>
      </x:c>
      <x:c r="B109" s="160" t="str">
        <x:f>INDEX('Client Overview'!$B$5:$G$5,1,MOD(ROW()-16,6)+1)</x:f>
        <x:v>CSIRP Tabletop Completion</x:v>
      </x:c>
      <x:c r="C109" s="170" t="n">
        <x:f>IFERROR(INDEX('Client Overview'!$B$6:$G$40,MATCH(A109,'Client Overview'!$A$6:$A$40,0),MATCH(B109,'Client Overview'!$B$5:$G$5,0)),"")</x:f>
        <x:v>45214</x:v>
      </x:c>
      <x:c r="D109" s="173" t="n">
        <x:f>IFERROR(INDEX('Client Overview'!$I$5:$I$10,MATCH(B109,'Client Overview'!$H$5:$H$10,0)),"")</x:f>
        <x:v>36</x:v>
      </x:c>
      <x:c r="E109" s="170" t="n">
        <x:f>IF(OR(C109="",D109=""),"",EDATE(C109,D109))</x:f>
        <x:v>46310</x:v>
      </x:c>
      <x:c r="F109" s="173" t="n">
        <x:f>IF(E109="","",E109-TODAY())</x:f>
        <x:v>57</x:v>
      </x:c>
      <x:c r="G109" s="166" t="str">
        <x:f>IF(E109="","No Date",IF(F109&lt;=INDEX('Client Overview'!$K$5:$K$10,MATCH(B109,'Client Overview'!$H$5:$H$10,0))*30.4375,"Red",IF(F109&lt;=INDEX('Client Overview'!$J$5:$J$10,MATCH(B109,'Client Overview'!$H$5:$H$10,0))*30.4375,"Yellow","Green")))</x:f>
        <x:v>Red</x:v>
      </x:c>
    </x:row>
    <x:row r="110" ht="22" customHeight="1">
      <x:c r="A110" s="159" t="str">
        <x:f>INDEX('Client Overview'!$A$6:$A$40,INT((ROW()-16)/6)+1)</x:f>
        <x:v>Organization 16</x:v>
      </x:c>
      <x:c r="B110" s="160" t="str">
        <x:f>INDEX('Client Overview'!$B$5:$G$5,1,MOD(ROW()-16,6)+1)</x:f>
        <x:v>RSAW Evidence Tracker</x:v>
      </x:c>
      <x:c r="C110" s="170" t="n">
        <x:f>IFERROR(INDEX('Client Overview'!$B$6:$G$40,MATCH(A110,'Client Overview'!$A$6:$A$40,0),MATCH(B110,'Client Overview'!$B$5:$G$5,0)),"")</x:f>
        <x:v>46174</x:v>
      </x:c>
      <x:c r="D110" s="173" t="n">
        <x:f>IFERROR(INDEX('Client Overview'!$I$5:$I$10,MATCH(B110,'Client Overview'!$H$5:$H$10,0)),"")</x:f>
        <x:v>12</x:v>
      </x:c>
      <x:c r="E110" s="170" t="n">
        <x:f>IF(OR(C110="",D110=""),"",EDATE(C110,D110))</x:f>
        <x:v>46539</x:v>
      </x:c>
      <x:c r="F110" s="173" t="n">
        <x:f>IF(E110="","",E110-TODAY())</x:f>
        <x:v>286</x:v>
      </x:c>
      <x:c r="G110" s="166" t="str">
        <x:f>IF(E110="","No Date",IF(F110&lt;=INDEX('Client Overview'!$K$5:$K$10,MATCH(B110,'Client Overview'!$H$5:$H$10,0))*30.4375,"Red",IF(F110&lt;=INDEX('Client Overview'!$J$5:$J$10,MATCH(B110,'Client Overview'!$H$5:$H$10,0))*30.4375,"Yellow","Green")))</x:f>
        <x:v>Green</x:v>
      </x:c>
    </x:row>
    <x:row r="111" ht="22" customHeight="1">
      <x:c r="A111" s="159" t="str">
        <x:f>INDEX('Client Overview'!$A$6:$A$40,INT((ROW()-16)/6)+1)</x:f>
        <x:v>Organization 16</x:v>
      </x:c>
      <x:c r="B111" s="160" t="str">
        <x:f>INDEX('Client Overview'!$B$5:$G$5,1,MOD(ROW()-16,6)+1)</x:f>
        <x:v>CIP Monthly Questions</x:v>
      </x:c>
      <x:c r="C111" s="170" t="str">
        <x:f>IFERROR(INDEX('Client Overview'!$B$6:$G$40,MATCH(A111,'Client Overview'!$A$6:$A$40,0),MATCH(B111,'Client Overview'!$B$5:$G$5,0)),"")</x:f>
      </x:c>
      <x:c r="D111" s="173" t="n">
        <x:f>IFERROR(INDEX('Client Overview'!$I$5:$I$10,MATCH(B111,'Client Overview'!$H$5:$H$10,0)),"")</x:f>
        <x:v>1</x:v>
      </x:c>
      <x:c r="E111" s="170" t="str">
        <x:f>IF(OR(C111="",D111=""),"",EDATE(C111,D111))</x:f>
      </x:c>
      <x:c r="F111" s="173" t="str">
        <x:f>IF(E111="","",E111-TODAY())</x:f>
      </x:c>
      <x:c r="G111" s="166" t="str">
        <x:f>IF(E111="","No Date",IF(F111&lt;=INDEX('Client Overview'!$K$5:$K$10,MATCH(B111,'Client Overview'!$H$5:$H$10,0))*30.4375,"Red",IF(F111&lt;=INDEX('Client Overview'!$J$5:$J$10,MATCH(B111,'Client Overview'!$H$5:$H$10,0))*30.4375,"Yellow","Green")))</x:f>
        <x:v>No Date</x:v>
      </x:c>
    </x:row>
    <x:row r="112" ht="22" customHeight="1">
      <x:c r="A112" s="159" t="str">
        <x:f>INDEX('Client Overview'!$A$6:$A$40,INT((ROW()-16)/6)+1)</x:f>
        <x:v>Organization 17</x:v>
      </x:c>
      <x:c r="B112" s="160" t="str">
        <x:f>INDEX('Client Overview'!$B$5:$G$5,1,MOD(ROW()-16,6)+1)</x:f>
        <x:v>Policy #1</x:v>
      </x:c>
      <x:c r="C112" s="170" t="n">
        <x:f>IFERROR(INDEX('Client Overview'!$B$6:$G$40,MATCH(A112,'Client Overview'!$A$6:$A$40,0),MATCH(B112,'Client Overview'!$B$5:$G$5,0)),"")</x:f>
        <x:v>46037</x:v>
      </x:c>
      <x:c r="D112" s="173" t="n">
        <x:f>IFERROR(INDEX('Client Overview'!$I$5:$I$10,MATCH(B112,'Client Overview'!$H$5:$H$10,0)),"")</x:f>
        <x:v>15</x:v>
      </x:c>
      <x:c r="E112" s="170" t="n">
        <x:f>IF(OR(C112="",D112=""),"",EDATE(C112,D112))</x:f>
        <x:v>46492</x:v>
      </x:c>
      <x:c r="F112" s="173" t="n">
        <x:f>IF(E112="","",E112-TODAY())</x:f>
        <x:v>239</x:v>
      </x:c>
      <x:c r="G112" s="166" t="str">
        <x:f>IF(E112="","No Date",IF(F112&lt;=INDEX('Client Overview'!$K$5:$K$10,MATCH(B112,'Client Overview'!$H$5:$H$10,0))*30.4375,"Red",IF(F112&lt;=INDEX('Client Overview'!$J$5:$J$10,MATCH(B112,'Client Overview'!$H$5:$H$10,0))*30.4375,"Yellow","Green")))</x:f>
        <x:v>Green</x:v>
      </x:c>
    </x:row>
    <x:row r="113" ht="22" customHeight="1">
      <x:c r="A113" s="159" t="str">
        <x:f>INDEX('Client Overview'!$A$6:$A$40,INT((ROW()-16)/6)+1)</x:f>
        <x:v>Organization 17</x:v>
      </x:c>
      <x:c r="B113" s="160" t="str">
        <x:f>INDEX('Client Overview'!$B$5:$G$5,1,MOD(ROW()-16,6)+1)</x:f>
        <x:v>Policy #2–7</x:v>
      </x:c>
      <x:c r="C113" s="170" t="n">
        <x:f>IFERROR(INDEX('Client Overview'!$B$6:$G$40,MATCH(A113,'Client Overview'!$A$6:$A$40,0),MATCH(B113,'Client Overview'!$B$5:$G$5,0)),"")</x:f>
        <x:v>46037</x:v>
      </x:c>
      <x:c r="D113" s="173" t="n">
        <x:f>IFERROR(INDEX('Client Overview'!$I$5:$I$10,MATCH(B113,'Client Overview'!$H$5:$H$10,0)),"")</x:f>
        <x:v>15</x:v>
      </x:c>
      <x:c r="E113" s="170" t="n">
        <x:f>IF(OR(C113="",D113=""),"",EDATE(C113,D113))</x:f>
        <x:v>46492</x:v>
      </x:c>
      <x:c r="F113" s="173" t="n">
        <x:f>IF(E113="","",E113-TODAY())</x:f>
        <x:v>239</x:v>
      </x:c>
      <x:c r="G113" s="166" t="str">
        <x:f>IF(E113="","No Date",IF(F113&lt;=INDEX('Client Overview'!$K$5:$K$10,MATCH(B113,'Client Overview'!$H$5:$H$10,0))*30.4375,"Red",IF(F113&lt;=INDEX('Client Overview'!$J$5:$J$10,MATCH(B113,'Client Overview'!$H$5:$H$10,0))*30.4375,"Yellow","Green")))</x:f>
        <x:v>Green</x:v>
      </x:c>
    </x:row>
    <x:row r="114" ht="22" customHeight="1">
      <x:c r="A114" s="159" t="str">
        <x:f>INDEX('Client Overview'!$A$6:$A$40,INT((ROW()-16)/6)+1)</x:f>
        <x:v>Organization 17</x:v>
      </x:c>
      <x:c r="B114" s="160" t="str">
        <x:f>INDEX('Client Overview'!$B$5:$G$5,1,MOD(ROW()-16,6)+1)</x:f>
        <x:v>Annual Review</x:v>
      </x:c>
      <x:c r="C114" s="170" t="n">
        <x:f>IFERROR(INDEX('Client Overview'!$B$6:$G$40,MATCH(A114,'Client Overview'!$A$6:$A$40,0),MATCH(B114,'Client Overview'!$B$5:$G$5,0)),"")</x:f>
        <x:v>46037</x:v>
      </x:c>
      <x:c r="D114" s="173" t="n">
        <x:f>IFERROR(INDEX('Client Overview'!$I$5:$I$10,MATCH(B114,'Client Overview'!$H$5:$H$10,0)),"")</x:f>
        <x:v>15</x:v>
      </x:c>
      <x:c r="E114" s="170" t="n">
        <x:f>IF(OR(C114="",D114=""),"",EDATE(C114,D114))</x:f>
        <x:v>46492</x:v>
      </x:c>
      <x:c r="F114" s="173" t="n">
        <x:f>IF(E114="","",E114-TODAY())</x:f>
        <x:v>239</x:v>
      </x:c>
      <x:c r="G114" s="166" t="str">
        <x:f>IF(E114="","No Date",IF(F114&lt;=INDEX('Client Overview'!$K$5:$K$10,MATCH(B114,'Client Overview'!$H$5:$H$10,0))*30.4375,"Red",IF(F114&lt;=INDEX('Client Overview'!$J$5:$J$10,MATCH(B114,'Client Overview'!$H$5:$H$10,0))*30.4375,"Yellow","Green")))</x:f>
        <x:v>Green</x:v>
      </x:c>
    </x:row>
    <x:row r="115" ht="22" customHeight="1">
      <x:c r="A115" s="159" t="str">
        <x:f>INDEX('Client Overview'!$A$6:$A$40,INT((ROW()-16)/6)+1)</x:f>
        <x:v>Organization 17</x:v>
      </x:c>
      <x:c r="B115" s="160" t="str">
        <x:f>INDEX('Client Overview'!$B$5:$G$5,1,MOD(ROW()-16,6)+1)</x:f>
        <x:v>CSIRP Tabletop Completion</x:v>
      </x:c>
      <x:c r="C115" s="170" t="n">
        <x:f>IFERROR(INDEX('Client Overview'!$B$6:$G$40,MATCH(A115,'Client Overview'!$A$6:$A$40,0),MATCH(B115,'Client Overview'!$B$5:$G$5,0)),"")</x:f>
        <x:v>45214</x:v>
      </x:c>
      <x:c r="D115" s="173" t="n">
        <x:f>IFERROR(INDEX('Client Overview'!$I$5:$I$10,MATCH(B115,'Client Overview'!$H$5:$H$10,0)),"")</x:f>
        <x:v>36</x:v>
      </x:c>
      <x:c r="E115" s="170" t="n">
        <x:f>IF(OR(C115="",D115=""),"",EDATE(C115,D115))</x:f>
        <x:v>46310</x:v>
      </x:c>
      <x:c r="F115" s="173" t="n">
        <x:f>IF(E115="","",E115-TODAY())</x:f>
        <x:v>57</x:v>
      </x:c>
      <x:c r="G115" s="166" t="str">
        <x:f>IF(E115="","No Date",IF(F115&lt;=INDEX('Client Overview'!$K$5:$K$10,MATCH(B115,'Client Overview'!$H$5:$H$10,0))*30.4375,"Red",IF(F115&lt;=INDEX('Client Overview'!$J$5:$J$10,MATCH(B115,'Client Overview'!$H$5:$H$10,0))*30.4375,"Yellow","Green")))</x:f>
        <x:v>Red</x:v>
      </x:c>
    </x:row>
    <x:row r="116" ht="22" customHeight="1">
      <x:c r="A116" s="159" t="str">
        <x:f>INDEX('Client Overview'!$A$6:$A$40,INT((ROW()-16)/6)+1)</x:f>
        <x:v>Organization 17</x:v>
      </x:c>
      <x:c r="B116" s="160" t="str">
        <x:f>INDEX('Client Overview'!$B$5:$G$5,1,MOD(ROW()-16,6)+1)</x:f>
        <x:v>RSAW Evidence Tracker</x:v>
      </x:c>
      <x:c r="C116" s="170" t="n">
        <x:f>IFERROR(INDEX('Client Overview'!$B$6:$G$40,MATCH(A116,'Client Overview'!$A$6:$A$40,0),MATCH(B116,'Client Overview'!$B$5:$G$5,0)),"")</x:f>
        <x:v>46174</x:v>
      </x:c>
      <x:c r="D116" s="173" t="n">
        <x:f>IFERROR(INDEX('Client Overview'!$I$5:$I$10,MATCH(B116,'Client Overview'!$H$5:$H$10,0)),"")</x:f>
        <x:v>12</x:v>
      </x:c>
      <x:c r="E116" s="170" t="n">
        <x:f>IF(OR(C116="",D116=""),"",EDATE(C116,D116))</x:f>
        <x:v>46539</x:v>
      </x:c>
      <x:c r="F116" s="173" t="n">
        <x:f>IF(E116="","",E116-TODAY())</x:f>
        <x:v>286</x:v>
      </x:c>
      <x:c r="G116" s="166" t="str">
        <x:f>IF(E116="","No Date",IF(F116&lt;=INDEX('Client Overview'!$K$5:$K$10,MATCH(B116,'Client Overview'!$H$5:$H$10,0))*30.4375,"Red",IF(F116&lt;=INDEX('Client Overview'!$J$5:$J$10,MATCH(B116,'Client Overview'!$H$5:$H$10,0))*30.4375,"Yellow","Green")))</x:f>
        <x:v>Green</x:v>
      </x:c>
    </x:row>
    <x:row r="117" ht="22" customHeight="1">
      <x:c r="A117" s="159" t="str">
        <x:f>INDEX('Client Overview'!$A$6:$A$40,INT((ROW()-16)/6)+1)</x:f>
        <x:v>Organization 17</x:v>
      </x:c>
      <x:c r="B117" s="160" t="str">
        <x:f>INDEX('Client Overview'!$B$5:$G$5,1,MOD(ROW()-16,6)+1)</x:f>
        <x:v>CIP Monthly Questions</x:v>
      </x:c>
      <x:c r="C117" s="170" t="str">
        <x:f>IFERROR(INDEX('Client Overview'!$B$6:$G$40,MATCH(A117,'Client Overview'!$A$6:$A$40,0),MATCH(B117,'Client Overview'!$B$5:$G$5,0)),"")</x:f>
      </x:c>
      <x:c r="D117" s="173" t="n">
        <x:f>IFERROR(INDEX('Client Overview'!$I$5:$I$10,MATCH(B117,'Client Overview'!$H$5:$H$10,0)),"")</x:f>
        <x:v>1</x:v>
      </x:c>
      <x:c r="E117" s="170" t="str">
        <x:f>IF(OR(C117="",D117=""),"",EDATE(C117,D117))</x:f>
      </x:c>
      <x:c r="F117" s="173" t="str">
        <x:f>IF(E117="","",E117-TODAY())</x:f>
      </x:c>
      <x:c r="G117" s="166" t="str">
        <x:f>IF(E117="","No Date",IF(F117&lt;=INDEX('Client Overview'!$K$5:$K$10,MATCH(B117,'Client Overview'!$H$5:$H$10,0))*30.4375,"Red",IF(F117&lt;=INDEX('Client Overview'!$J$5:$J$10,MATCH(B117,'Client Overview'!$H$5:$H$10,0))*30.4375,"Yellow","Green")))</x:f>
        <x:v>No Date</x:v>
      </x:c>
    </x:row>
    <x:row r="118" ht="22" customHeight="1">
      <x:c r="A118" s="159" t="str">
        <x:f>INDEX('Client Overview'!$A$6:$A$40,INT((ROW()-16)/6)+1)</x:f>
        <x:v>Organization 18</x:v>
      </x:c>
      <x:c r="B118" s="160" t="str">
        <x:f>INDEX('Client Overview'!$B$5:$G$5,1,MOD(ROW()-16,6)+1)</x:f>
        <x:v>Policy #1</x:v>
      </x:c>
      <x:c r="C118" s="170" t="n">
        <x:f>IFERROR(INDEX('Client Overview'!$B$6:$G$40,MATCH(A118,'Client Overview'!$A$6:$A$40,0),MATCH(B118,'Client Overview'!$B$5:$G$5,0)),"")</x:f>
        <x:v>46037</x:v>
      </x:c>
      <x:c r="D118" s="173" t="n">
        <x:f>IFERROR(INDEX('Client Overview'!$I$5:$I$10,MATCH(B118,'Client Overview'!$H$5:$H$10,0)),"")</x:f>
        <x:v>15</x:v>
      </x:c>
      <x:c r="E118" s="170" t="n">
        <x:f>IF(OR(C118="",D118=""),"",EDATE(C118,D118))</x:f>
        <x:v>46492</x:v>
      </x:c>
      <x:c r="F118" s="173" t="n">
        <x:f>IF(E118="","",E118-TODAY())</x:f>
        <x:v>239</x:v>
      </x:c>
      <x:c r="G118" s="166" t="str">
        <x:f>IF(E118="","No Date",IF(F118&lt;=INDEX('Client Overview'!$K$5:$K$10,MATCH(B118,'Client Overview'!$H$5:$H$10,0))*30.4375,"Red",IF(F118&lt;=INDEX('Client Overview'!$J$5:$J$10,MATCH(B118,'Client Overview'!$H$5:$H$10,0))*30.4375,"Yellow","Green")))</x:f>
        <x:v>Green</x:v>
      </x:c>
    </x:row>
    <x:row r="119" ht="22" customHeight="1">
      <x:c r="A119" s="159" t="str">
        <x:f>INDEX('Client Overview'!$A$6:$A$40,INT((ROW()-16)/6)+1)</x:f>
        <x:v>Organization 18</x:v>
      </x:c>
      <x:c r="B119" s="160" t="str">
        <x:f>INDEX('Client Overview'!$B$5:$G$5,1,MOD(ROW()-16,6)+1)</x:f>
        <x:v>Policy #2–7</x:v>
      </x:c>
      <x:c r="C119" s="170" t="n">
        <x:f>IFERROR(INDEX('Client Overview'!$B$6:$G$40,MATCH(A119,'Client Overview'!$A$6:$A$40,0),MATCH(B119,'Client Overview'!$B$5:$G$5,0)),"")</x:f>
        <x:v>46037</x:v>
      </x:c>
      <x:c r="D119" s="173" t="n">
        <x:f>IFERROR(INDEX('Client Overview'!$I$5:$I$10,MATCH(B119,'Client Overview'!$H$5:$H$10,0)),"")</x:f>
        <x:v>15</x:v>
      </x:c>
      <x:c r="E119" s="170" t="n">
        <x:f>IF(OR(C119="",D119=""),"",EDATE(C119,D119))</x:f>
        <x:v>46492</x:v>
      </x:c>
      <x:c r="F119" s="173" t="n">
        <x:f>IF(E119="","",E119-TODAY())</x:f>
        <x:v>239</x:v>
      </x:c>
      <x:c r="G119" s="166" t="str">
        <x:f>IF(E119="","No Date",IF(F119&lt;=INDEX('Client Overview'!$K$5:$K$10,MATCH(B119,'Client Overview'!$H$5:$H$10,0))*30.4375,"Red",IF(F119&lt;=INDEX('Client Overview'!$J$5:$J$10,MATCH(B119,'Client Overview'!$H$5:$H$10,0))*30.4375,"Yellow","Green")))</x:f>
        <x:v>Green</x:v>
      </x:c>
    </x:row>
    <x:row r="120" ht="22" customHeight="1">
      <x:c r="A120" s="159" t="str">
        <x:f>INDEX('Client Overview'!$A$6:$A$40,INT((ROW()-16)/6)+1)</x:f>
        <x:v>Organization 18</x:v>
      </x:c>
      <x:c r="B120" s="160" t="str">
        <x:f>INDEX('Client Overview'!$B$5:$G$5,1,MOD(ROW()-16,6)+1)</x:f>
        <x:v>Annual Review</x:v>
      </x:c>
      <x:c r="C120" s="170" t="n">
        <x:f>IFERROR(INDEX('Client Overview'!$B$6:$G$40,MATCH(A120,'Client Overview'!$A$6:$A$40,0),MATCH(B120,'Client Overview'!$B$5:$G$5,0)),"")</x:f>
        <x:v>46037</x:v>
      </x:c>
      <x:c r="D120" s="173" t="n">
        <x:f>IFERROR(INDEX('Client Overview'!$I$5:$I$10,MATCH(B120,'Client Overview'!$H$5:$H$10,0)),"")</x:f>
        <x:v>15</x:v>
      </x:c>
      <x:c r="E120" s="170" t="n">
        <x:f>IF(OR(C120="",D120=""),"",EDATE(C120,D120))</x:f>
        <x:v>46492</x:v>
      </x:c>
      <x:c r="F120" s="173" t="n">
        <x:f>IF(E120="","",E120-TODAY())</x:f>
        <x:v>239</x:v>
      </x:c>
      <x:c r="G120" s="166" t="str">
        <x:f>IF(E120="","No Date",IF(F120&lt;=INDEX('Client Overview'!$K$5:$K$10,MATCH(B120,'Client Overview'!$H$5:$H$10,0))*30.4375,"Red",IF(F120&lt;=INDEX('Client Overview'!$J$5:$J$10,MATCH(B120,'Client Overview'!$H$5:$H$10,0))*30.4375,"Yellow","Green")))</x:f>
        <x:v>Green</x:v>
      </x:c>
    </x:row>
    <x:row r="121" ht="22" customHeight="1">
      <x:c r="A121" s="159" t="str">
        <x:f>INDEX('Client Overview'!$A$6:$A$40,INT((ROW()-16)/6)+1)</x:f>
        <x:v>Organization 18</x:v>
      </x:c>
      <x:c r="B121" s="160" t="str">
        <x:f>INDEX('Client Overview'!$B$5:$G$5,1,MOD(ROW()-16,6)+1)</x:f>
        <x:v>CSIRP Tabletop Completion</x:v>
      </x:c>
      <x:c r="C121" s="170" t="n">
        <x:f>IFERROR(INDEX('Client Overview'!$B$6:$G$40,MATCH(A121,'Client Overview'!$A$6:$A$40,0),MATCH(B121,'Client Overview'!$B$5:$G$5,0)),"")</x:f>
        <x:v>45214</x:v>
      </x:c>
      <x:c r="D121" s="173" t="n">
        <x:f>IFERROR(INDEX('Client Overview'!$I$5:$I$10,MATCH(B121,'Client Overview'!$H$5:$H$10,0)),"")</x:f>
        <x:v>36</x:v>
      </x:c>
      <x:c r="E121" s="170" t="n">
        <x:f>IF(OR(C121="",D121=""),"",EDATE(C121,D121))</x:f>
        <x:v>46310</x:v>
      </x:c>
      <x:c r="F121" s="173" t="n">
        <x:f>IF(E121="","",E121-TODAY())</x:f>
        <x:v>57</x:v>
      </x:c>
      <x:c r="G121" s="166" t="str">
        <x:f>IF(E121="","No Date",IF(F121&lt;=INDEX('Client Overview'!$K$5:$K$10,MATCH(B121,'Client Overview'!$H$5:$H$10,0))*30.4375,"Red",IF(F121&lt;=INDEX('Client Overview'!$J$5:$J$10,MATCH(B121,'Client Overview'!$H$5:$H$10,0))*30.4375,"Yellow","Green")))</x:f>
        <x:v>Red</x:v>
      </x:c>
    </x:row>
    <x:row r="122" ht="22" customHeight="1">
      <x:c r="A122" s="159" t="str">
        <x:f>INDEX('Client Overview'!$A$6:$A$40,INT((ROW()-16)/6)+1)</x:f>
        <x:v>Organization 18</x:v>
      </x:c>
      <x:c r="B122" s="160" t="str">
        <x:f>INDEX('Client Overview'!$B$5:$G$5,1,MOD(ROW()-16,6)+1)</x:f>
        <x:v>RSAW Evidence Tracker</x:v>
      </x:c>
      <x:c r="C122" s="170" t="n">
        <x:f>IFERROR(INDEX('Client Overview'!$B$6:$G$40,MATCH(A122,'Client Overview'!$A$6:$A$40,0),MATCH(B122,'Client Overview'!$B$5:$G$5,0)),"")</x:f>
        <x:v>46174</x:v>
      </x:c>
      <x:c r="D122" s="173" t="n">
        <x:f>IFERROR(INDEX('Client Overview'!$I$5:$I$10,MATCH(B122,'Client Overview'!$H$5:$H$10,0)),"")</x:f>
        <x:v>12</x:v>
      </x:c>
      <x:c r="E122" s="170" t="n">
        <x:f>IF(OR(C122="",D122=""),"",EDATE(C122,D122))</x:f>
        <x:v>46539</x:v>
      </x:c>
      <x:c r="F122" s="173" t="n">
        <x:f>IF(E122="","",E122-TODAY())</x:f>
        <x:v>286</x:v>
      </x:c>
      <x:c r="G122" s="166" t="str">
        <x:f>IF(E122="","No Date",IF(F122&lt;=INDEX('Client Overview'!$K$5:$K$10,MATCH(B122,'Client Overview'!$H$5:$H$10,0))*30.4375,"Red",IF(F122&lt;=INDEX('Client Overview'!$J$5:$J$10,MATCH(B122,'Client Overview'!$H$5:$H$10,0))*30.4375,"Yellow","Green")))</x:f>
        <x:v>Green</x:v>
      </x:c>
    </x:row>
    <x:row r="123" ht="22" customHeight="1">
      <x:c r="A123" s="159" t="str">
        <x:f>INDEX('Client Overview'!$A$6:$A$40,INT((ROW()-16)/6)+1)</x:f>
        <x:v>Organization 18</x:v>
      </x:c>
      <x:c r="B123" s="160" t="str">
        <x:f>INDEX('Client Overview'!$B$5:$G$5,1,MOD(ROW()-16,6)+1)</x:f>
        <x:v>CIP Monthly Questions</x:v>
      </x:c>
      <x:c r="C123" s="170" t="str">
        <x:f>IFERROR(INDEX('Client Overview'!$B$6:$G$40,MATCH(A123,'Client Overview'!$A$6:$A$40,0),MATCH(B123,'Client Overview'!$B$5:$G$5,0)),"")</x:f>
      </x:c>
      <x:c r="D123" s="173" t="n">
        <x:f>IFERROR(INDEX('Client Overview'!$I$5:$I$10,MATCH(B123,'Client Overview'!$H$5:$H$10,0)),"")</x:f>
        <x:v>1</x:v>
      </x:c>
      <x:c r="E123" s="170" t="str">
        <x:f>IF(OR(C123="",D123=""),"",EDATE(C123,D123))</x:f>
      </x:c>
      <x:c r="F123" s="173" t="str">
        <x:f>IF(E123="","",E123-TODAY())</x:f>
      </x:c>
      <x:c r="G123" s="166" t="str">
        <x:f>IF(E123="","No Date",IF(F123&lt;=INDEX('Client Overview'!$K$5:$K$10,MATCH(B123,'Client Overview'!$H$5:$H$10,0))*30.4375,"Red",IF(F123&lt;=INDEX('Client Overview'!$J$5:$J$10,MATCH(B123,'Client Overview'!$H$5:$H$10,0))*30.4375,"Yellow","Green")))</x:f>
        <x:v>No Date</x:v>
      </x:c>
    </x:row>
    <x:row r="124" ht="22" customHeight="1">
      <x:c r="A124" s="159" t="str">
        <x:f>INDEX('Client Overview'!$A$6:$A$40,INT((ROW()-16)/6)+1)</x:f>
        <x:v>Organization 19</x:v>
      </x:c>
      <x:c r="B124" s="160" t="str">
        <x:f>INDEX('Client Overview'!$B$5:$G$5,1,MOD(ROW()-16,6)+1)</x:f>
        <x:v>Policy #1</x:v>
      </x:c>
      <x:c r="C124" s="170" t="n">
        <x:f>IFERROR(INDEX('Client Overview'!$B$6:$G$40,MATCH(A124,'Client Overview'!$A$6:$A$40,0),MATCH(B124,'Client Overview'!$B$5:$G$5,0)),"")</x:f>
        <x:v>46037</x:v>
      </x:c>
      <x:c r="D124" s="173" t="n">
        <x:f>IFERROR(INDEX('Client Overview'!$I$5:$I$10,MATCH(B124,'Client Overview'!$H$5:$H$10,0)),"")</x:f>
        <x:v>15</x:v>
      </x:c>
      <x:c r="E124" s="170" t="n">
        <x:f>IF(OR(C124="",D124=""),"",EDATE(C124,D124))</x:f>
        <x:v>46492</x:v>
      </x:c>
      <x:c r="F124" s="173" t="n">
        <x:f>IF(E124="","",E124-TODAY())</x:f>
        <x:v>239</x:v>
      </x:c>
      <x:c r="G124" s="166" t="str">
        <x:f>IF(E124="","No Date",IF(F124&lt;=INDEX('Client Overview'!$K$5:$K$10,MATCH(B124,'Client Overview'!$H$5:$H$10,0))*30.4375,"Red",IF(F124&lt;=INDEX('Client Overview'!$J$5:$J$10,MATCH(B124,'Client Overview'!$H$5:$H$10,0))*30.4375,"Yellow","Green")))</x:f>
        <x:v>Green</x:v>
      </x:c>
    </x:row>
    <x:row r="125" ht="22" customHeight="1">
      <x:c r="A125" s="159" t="str">
        <x:f>INDEX('Client Overview'!$A$6:$A$40,INT((ROW()-16)/6)+1)</x:f>
        <x:v>Organization 19</x:v>
      </x:c>
      <x:c r="B125" s="160" t="str">
        <x:f>INDEX('Client Overview'!$B$5:$G$5,1,MOD(ROW()-16,6)+1)</x:f>
        <x:v>Policy #2–7</x:v>
      </x:c>
      <x:c r="C125" s="170" t="n">
        <x:f>IFERROR(INDEX('Client Overview'!$B$6:$G$40,MATCH(A125,'Client Overview'!$A$6:$A$40,0),MATCH(B125,'Client Overview'!$B$5:$G$5,0)),"")</x:f>
        <x:v>46037</x:v>
      </x:c>
      <x:c r="D125" s="173" t="n">
        <x:f>IFERROR(INDEX('Client Overview'!$I$5:$I$10,MATCH(B125,'Client Overview'!$H$5:$H$10,0)),"")</x:f>
        <x:v>15</x:v>
      </x:c>
      <x:c r="E125" s="170" t="n">
        <x:f>IF(OR(C125="",D125=""),"",EDATE(C125,D125))</x:f>
        <x:v>46492</x:v>
      </x:c>
      <x:c r="F125" s="173" t="n">
        <x:f>IF(E125="","",E125-TODAY())</x:f>
        <x:v>239</x:v>
      </x:c>
      <x:c r="G125" s="166" t="str">
        <x:f>IF(E125="","No Date",IF(F125&lt;=INDEX('Client Overview'!$K$5:$K$10,MATCH(B125,'Client Overview'!$H$5:$H$10,0))*30.4375,"Red",IF(F125&lt;=INDEX('Client Overview'!$J$5:$J$10,MATCH(B125,'Client Overview'!$H$5:$H$10,0))*30.4375,"Yellow","Green")))</x:f>
        <x:v>Green</x:v>
      </x:c>
    </x:row>
    <x:row r="126" ht="22" customHeight="1">
      <x:c r="A126" s="159" t="str">
        <x:f>INDEX('Client Overview'!$A$6:$A$40,INT((ROW()-16)/6)+1)</x:f>
        <x:v>Organization 19</x:v>
      </x:c>
      <x:c r="B126" s="160" t="str">
        <x:f>INDEX('Client Overview'!$B$5:$G$5,1,MOD(ROW()-16,6)+1)</x:f>
        <x:v>Annual Review</x:v>
      </x:c>
      <x:c r="C126" s="170" t="n">
        <x:f>IFERROR(INDEX('Client Overview'!$B$6:$G$40,MATCH(A126,'Client Overview'!$A$6:$A$40,0),MATCH(B126,'Client Overview'!$B$5:$G$5,0)),"")</x:f>
        <x:v>46037</x:v>
      </x:c>
      <x:c r="D126" s="173" t="n">
        <x:f>IFERROR(INDEX('Client Overview'!$I$5:$I$10,MATCH(B126,'Client Overview'!$H$5:$H$10,0)),"")</x:f>
        <x:v>15</x:v>
      </x:c>
      <x:c r="E126" s="170" t="n">
        <x:f>IF(OR(C126="",D126=""),"",EDATE(C126,D126))</x:f>
        <x:v>46492</x:v>
      </x:c>
      <x:c r="F126" s="173" t="n">
        <x:f>IF(E126="","",E126-TODAY())</x:f>
        <x:v>239</x:v>
      </x:c>
      <x:c r="G126" s="166" t="str">
        <x:f>IF(E126="","No Date",IF(F126&lt;=INDEX('Client Overview'!$K$5:$K$10,MATCH(B126,'Client Overview'!$H$5:$H$10,0))*30.4375,"Red",IF(F126&lt;=INDEX('Client Overview'!$J$5:$J$10,MATCH(B126,'Client Overview'!$H$5:$H$10,0))*30.4375,"Yellow","Green")))</x:f>
        <x:v>Green</x:v>
      </x:c>
    </x:row>
    <x:row r="127" ht="22" customHeight="1">
      <x:c r="A127" s="159" t="str">
        <x:f>INDEX('Client Overview'!$A$6:$A$40,INT((ROW()-16)/6)+1)</x:f>
        <x:v>Organization 19</x:v>
      </x:c>
      <x:c r="B127" s="160" t="str">
        <x:f>INDEX('Client Overview'!$B$5:$G$5,1,MOD(ROW()-16,6)+1)</x:f>
        <x:v>CSIRP Tabletop Completion</x:v>
      </x:c>
      <x:c r="C127" s="170" t="n">
        <x:f>IFERROR(INDEX('Client Overview'!$B$6:$G$40,MATCH(A127,'Client Overview'!$A$6:$A$40,0),MATCH(B127,'Client Overview'!$B$5:$G$5,0)),"")</x:f>
        <x:v>45214</x:v>
      </x:c>
      <x:c r="D127" s="173" t="n">
        <x:f>IFERROR(INDEX('Client Overview'!$I$5:$I$10,MATCH(B127,'Client Overview'!$H$5:$H$10,0)),"")</x:f>
        <x:v>36</x:v>
      </x:c>
      <x:c r="E127" s="170" t="n">
        <x:f>IF(OR(C127="",D127=""),"",EDATE(C127,D127))</x:f>
        <x:v>46310</x:v>
      </x:c>
      <x:c r="F127" s="173" t="n">
        <x:f>IF(E127="","",E127-TODAY())</x:f>
        <x:v>57</x:v>
      </x:c>
      <x:c r="G127" s="166" t="str">
        <x:f>IF(E127="","No Date",IF(F127&lt;=INDEX('Client Overview'!$K$5:$K$10,MATCH(B127,'Client Overview'!$H$5:$H$10,0))*30.4375,"Red",IF(F127&lt;=INDEX('Client Overview'!$J$5:$J$10,MATCH(B127,'Client Overview'!$H$5:$H$10,0))*30.4375,"Yellow","Green")))</x:f>
        <x:v>Red</x:v>
      </x:c>
    </x:row>
    <x:row r="128" ht="22" customHeight="1">
      <x:c r="A128" s="159" t="str">
        <x:f>INDEX('Client Overview'!$A$6:$A$40,INT((ROW()-16)/6)+1)</x:f>
        <x:v>Organization 19</x:v>
      </x:c>
      <x:c r="B128" s="160" t="str">
        <x:f>INDEX('Client Overview'!$B$5:$G$5,1,MOD(ROW()-16,6)+1)</x:f>
        <x:v>RSAW Evidence Tracker</x:v>
      </x:c>
      <x:c r="C128" s="170" t="n">
        <x:f>IFERROR(INDEX('Client Overview'!$B$6:$G$40,MATCH(A128,'Client Overview'!$A$6:$A$40,0),MATCH(B128,'Client Overview'!$B$5:$G$5,0)),"")</x:f>
        <x:v>46174</x:v>
      </x:c>
      <x:c r="D128" s="173" t="n">
        <x:f>IFERROR(INDEX('Client Overview'!$I$5:$I$10,MATCH(B128,'Client Overview'!$H$5:$H$10,0)),"")</x:f>
        <x:v>12</x:v>
      </x:c>
      <x:c r="E128" s="170" t="n">
        <x:f>IF(OR(C128="",D128=""),"",EDATE(C128,D128))</x:f>
        <x:v>46539</x:v>
      </x:c>
      <x:c r="F128" s="173" t="n">
        <x:f>IF(E128="","",E128-TODAY())</x:f>
        <x:v>286</x:v>
      </x:c>
      <x:c r="G128" s="166" t="str">
        <x:f>IF(E128="","No Date",IF(F128&lt;=INDEX('Client Overview'!$K$5:$K$10,MATCH(B128,'Client Overview'!$H$5:$H$10,0))*30.4375,"Red",IF(F128&lt;=INDEX('Client Overview'!$J$5:$J$10,MATCH(B128,'Client Overview'!$H$5:$H$10,0))*30.4375,"Yellow","Green")))</x:f>
        <x:v>Green</x:v>
      </x:c>
    </x:row>
    <x:row r="129" ht="22" customHeight="1">
      <x:c r="A129" s="159" t="str">
        <x:f>INDEX('Client Overview'!$A$6:$A$40,INT((ROW()-16)/6)+1)</x:f>
        <x:v>Organization 19</x:v>
      </x:c>
      <x:c r="B129" s="160" t="str">
        <x:f>INDEX('Client Overview'!$B$5:$G$5,1,MOD(ROW()-16,6)+1)</x:f>
        <x:v>CIP Monthly Questions</x:v>
      </x:c>
      <x:c r="C129" s="170" t="str">
        <x:f>IFERROR(INDEX('Client Overview'!$B$6:$G$40,MATCH(A129,'Client Overview'!$A$6:$A$40,0),MATCH(B129,'Client Overview'!$B$5:$G$5,0)),"")</x:f>
      </x:c>
      <x:c r="D129" s="173" t="n">
        <x:f>IFERROR(INDEX('Client Overview'!$I$5:$I$10,MATCH(B129,'Client Overview'!$H$5:$H$10,0)),"")</x:f>
        <x:v>1</x:v>
      </x:c>
      <x:c r="E129" s="170" t="str">
        <x:f>IF(OR(C129="",D129=""),"",EDATE(C129,D129))</x:f>
      </x:c>
      <x:c r="F129" s="173" t="str">
        <x:f>IF(E129="","",E129-TODAY())</x:f>
      </x:c>
      <x:c r="G129" s="166" t="str">
        <x:f>IF(E129="","No Date",IF(F129&lt;=INDEX('Client Overview'!$K$5:$K$10,MATCH(B129,'Client Overview'!$H$5:$H$10,0))*30.4375,"Red",IF(F129&lt;=INDEX('Client Overview'!$J$5:$J$10,MATCH(B129,'Client Overview'!$H$5:$H$10,0))*30.4375,"Yellow","Green")))</x:f>
        <x:v>No Date</x:v>
      </x:c>
    </x:row>
    <x:row r="130" ht="22" customHeight="1">
      <x:c r="A130" s="159" t="str">
        <x:f>INDEX('Client Overview'!$A$6:$A$40,INT((ROW()-16)/6)+1)</x:f>
        <x:v>Organization 20</x:v>
      </x:c>
      <x:c r="B130" s="160" t="str">
        <x:f>INDEX('Client Overview'!$B$5:$G$5,1,MOD(ROW()-16,6)+1)</x:f>
        <x:v>Policy #1</x:v>
      </x:c>
      <x:c r="C130" s="170" t="n">
        <x:f>IFERROR(INDEX('Client Overview'!$B$6:$G$40,MATCH(A130,'Client Overview'!$A$6:$A$40,0),MATCH(B130,'Client Overview'!$B$5:$G$5,0)),"")</x:f>
        <x:v>46037</x:v>
      </x:c>
      <x:c r="D130" s="173" t="n">
        <x:f>IFERROR(INDEX('Client Overview'!$I$5:$I$10,MATCH(B130,'Client Overview'!$H$5:$H$10,0)),"")</x:f>
        <x:v>15</x:v>
      </x:c>
      <x:c r="E130" s="170" t="n">
        <x:f>IF(OR(C130="",D130=""),"",EDATE(C130,D130))</x:f>
        <x:v>46492</x:v>
      </x:c>
      <x:c r="F130" s="173" t="n">
        <x:f>IF(E130="","",E130-TODAY())</x:f>
        <x:v>239</x:v>
      </x:c>
      <x:c r="G130" s="166" t="str">
        <x:f>IF(E130="","No Date",IF(F130&lt;=INDEX('Client Overview'!$K$5:$K$10,MATCH(B130,'Client Overview'!$H$5:$H$10,0))*30.4375,"Red",IF(F130&lt;=INDEX('Client Overview'!$J$5:$J$10,MATCH(B130,'Client Overview'!$H$5:$H$10,0))*30.4375,"Yellow","Green")))</x:f>
        <x:v>Green</x:v>
      </x:c>
    </x:row>
    <x:row r="131" ht="22" customHeight="1">
      <x:c r="A131" s="159" t="str">
        <x:f>INDEX('Client Overview'!$A$6:$A$40,INT((ROW()-16)/6)+1)</x:f>
        <x:v>Organization 20</x:v>
      </x:c>
      <x:c r="B131" s="160" t="str">
        <x:f>INDEX('Client Overview'!$B$5:$G$5,1,MOD(ROW()-16,6)+1)</x:f>
        <x:v>Policy #2–7</x:v>
      </x:c>
      <x:c r="C131" s="170" t="n">
        <x:f>IFERROR(INDEX('Client Overview'!$B$6:$G$40,MATCH(A131,'Client Overview'!$A$6:$A$40,0),MATCH(B131,'Client Overview'!$B$5:$G$5,0)),"")</x:f>
        <x:v>46037</x:v>
      </x:c>
      <x:c r="D131" s="173" t="n">
        <x:f>IFERROR(INDEX('Client Overview'!$I$5:$I$10,MATCH(B131,'Client Overview'!$H$5:$H$10,0)),"")</x:f>
        <x:v>15</x:v>
      </x:c>
      <x:c r="E131" s="170" t="n">
        <x:f>IF(OR(C131="",D131=""),"",EDATE(C131,D131))</x:f>
        <x:v>46492</x:v>
      </x:c>
      <x:c r="F131" s="173" t="n">
        <x:f>IF(E131="","",E131-TODAY())</x:f>
        <x:v>239</x:v>
      </x:c>
      <x:c r="G131" s="166" t="str">
        <x:f>IF(E131="","No Date",IF(F131&lt;=INDEX('Client Overview'!$K$5:$K$10,MATCH(B131,'Client Overview'!$H$5:$H$10,0))*30.4375,"Red",IF(F131&lt;=INDEX('Client Overview'!$J$5:$J$10,MATCH(B131,'Client Overview'!$H$5:$H$10,0))*30.4375,"Yellow","Green")))</x:f>
        <x:v>Green</x:v>
      </x:c>
    </x:row>
    <x:row r="132" ht="22" customHeight="1">
      <x:c r="A132" s="159" t="str">
        <x:f>INDEX('Client Overview'!$A$6:$A$40,INT((ROW()-16)/6)+1)</x:f>
        <x:v>Organization 20</x:v>
      </x:c>
      <x:c r="B132" s="160" t="str">
        <x:f>INDEX('Client Overview'!$B$5:$G$5,1,MOD(ROW()-16,6)+1)</x:f>
        <x:v>Annual Review</x:v>
      </x:c>
      <x:c r="C132" s="170" t="n">
        <x:f>IFERROR(INDEX('Client Overview'!$B$6:$G$40,MATCH(A132,'Client Overview'!$A$6:$A$40,0),MATCH(B132,'Client Overview'!$B$5:$G$5,0)),"")</x:f>
        <x:v>46037</x:v>
      </x:c>
      <x:c r="D132" s="173" t="n">
        <x:f>IFERROR(INDEX('Client Overview'!$I$5:$I$10,MATCH(B132,'Client Overview'!$H$5:$H$10,0)),"")</x:f>
        <x:v>15</x:v>
      </x:c>
      <x:c r="E132" s="170" t="n">
        <x:f>IF(OR(C132="",D132=""),"",EDATE(C132,D132))</x:f>
        <x:v>46492</x:v>
      </x:c>
      <x:c r="F132" s="173" t="n">
        <x:f>IF(E132="","",E132-TODAY())</x:f>
        <x:v>239</x:v>
      </x:c>
      <x:c r="G132" s="166" t="str">
        <x:f>IF(E132="","No Date",IF(F132&lt;=INDEX('Client Overview'!$K$5:$K$10,MATCH(B132,'Client Overview'!$H$5:$H$10,0))*30.4375,"Red",IF(F132&lt;=INDEX('Client Overview'!$J$5:$J$10,MATCH(B132,'Client Overview'!$H$5:$H$10,0))*30.4375,"Yellow","Green")))</x:f>
        <x:v>Green</x:v>
      </x:c>
    </x:row>
    <x:row r="133" ht="22" customHeight="1">
      <x:c r="A133" s="159" t="str">
        <x:f>INDEX('Client Overview'!$A$6:$A$40,INT((ROW()-16)/6)+1)</x:f>
        <x:v>Organization 20</x:v>
      </x:c>
      <x:c r="B133" s="160" t="str">
        <x:f>INDEX('Client Overview'!$B$5:$G$5,1,MOD(ROW()-16,6)+1)</x:f>
        <x:v>CSIRP Tabletop Completion</x:v>
      </x:c>
      <x:c r="C133" s="170" t="n">
        <x:f>IFERROR(INDEX('Client Overview'!$B$6:$G$40,MATCH(A133,'Client Overview'!$A$6:$A$40,0),MATCH(B133,'Client Overview'!$B$5:$G$5,0)),"")</x:f>
        <x:v>45214</x:v>
      </x:c>
      <x:c r="D133" s="173" t="n">
        <x:f>IFERROR(INDEX('Client Overview'!$I$5:$I$10,MATCH(B133,'Client Overview'!$H$5:$H$10,0)),"")</x:f>
        <x:v>36</x:v>
      </x:c>
      <x:c r="E133" s="170" t="n">
        <x:f>IF(OR(C133="",D133=""),"",EDATE(C133,D133))</x:f>
        <x:v>46310</x:v>
      </x:c>
      <x:c r="F133" s="173" t="n">
        <x:f>IF(E133="","",E133-TODAY())</x:f>
        <x:v>57</x:v>
      </x:c>
      <x:c r="G133" s="166" t="str">
        <x:f>IF(E133="","No Date",IF(F133&lt;=INDEX('Client Overview'!$K$5:$K$10,MATCH(B133,'Client Overview'!$H$5:$H$10,0))*30.4375,"Red",IF(F133&lt;=INDEX('Client Overview'!$J$5:$J$10,MATCH(B133,'Client Overview'!$H$5:$H$10,0))*30.4375,"Yellow","Green")))</x:f>
        <x:v>Red</x:v>
      </x:c>
    </x:row>
    <x:row r="134" ht="22" customHeight="1">
      <x:c r="A134" s="159" t="str">
        <x:f>INDEX('Client Overview'!$A$6:$A$40,INT((ROW()-16)/6)+1)</x:f>
        <x:v>Organization 20</x:v>
      </x:c>
      <x:c r="B134" s="160" t="str">
        <x:f>INDEX('Client Overview'!$B$5:$G$5,1,MOD(ROW()-16,6)+1)</x:f>
        <x:v>RSAW Evidence Tracker</x:v>
      </x:c>
      <x:c r="C134" s="170" t="n">
        <x:f>IFERROR(INDEX('Client Overview'!$B$6:$G$40,MATCH(A134,'Client Overview'!$A$6:$A$40,0),MATCH(B134,'Client Overview'!$B$5:$G$5,0)),"")</x:f>
        <x:v>46174</x:v>
      </x:c>
      <x:c r="D134" s="173" t="n">
        <x:f>IFERROR(INDEX('Client Overview'!$I$5:$I$10,MATCH(B134,'Client Overview'!$H$5:$H$10,0)),"")</x:f>
        <x:v>12</x:v>
      </x:c>
      <x:c r="E134" s="170" t="n">
        <x:f>IF(OR(C134="",D134=""),"",EDATE(C134,D134))</x:f>
        <x:v>46539</x:v>
      </x:c>
      <x:c r="F134" s="173" t="n">
        <x:f>IF(E134="","",E134-TODAY())</x:f>
        <x:v>286</x:v>
      </x:c>
      <x:c r="G134" s="166" t="str">
        <x:f>IF(E134="","No Date",IF(F134&lt;=INDEX('Client Overview'!$K$5:$K$10,MATCH(B134,'Client Overview'!$H$5:$H$10,0))*30.4375,"Red",IF(F134&lt;=INDEX('Client Overview'!$J$5:$J$10,MATCH(B134,'Client Overview'!$H$5:$H$10,0))*30.4375,"Yellow","Green")))</x:f>
        <x:v>Green</x:v>
      </x:c>
    </x:row>
    <x:row r="135" ht="22" customHeight="1">
      <x:c r="A135" s="159" t="str">
        <x:f>INDEX('Client Overview'!$A$6:$A$40,INT((ROW()-16)/6)+1)</x:f>
        <x:v>Organization 20</x:v>
      </x:c>
      <x:c r="B135" s="160" t="str">
        <x:f>INDEX('Client Overview'!$B$5:$G$5,1,MOD(ROW()-16,6)+1)</x:f>
        <x:v>CIP Monthly Questions</x:v>
      </x:c>
      <x:c r="C135" s="170" t="str">
        <x:f>IFERROR(INDEX('Client Overview'!$B$6:$G$40,MATCH(A135,'Client Overview'!$A$6:$A$40,0),MATCH(B135,'Client Overview'!$B$5:$G$5,0)),"")</x:f>
      </x:c>
      <x:c r="D135" s="173" t="n">
        <x:f>IFERROR(INDEX('Client Overview'!$I$5:$I$10,MATCH(B135,'Client Overview'!$H$5:$H$10,0)),"")</x:f>
        <x:v>1</x:v>
      </x:c>
      <x:c r="E135" s="170" t="str">
        <x:f>IF(OR(C135="",D135=""),"",EDATE(C135,D135))</x:f>
      </x:c>
      <x:c r="F135" s="173" t="str">
        <x:f>IF(E135="","",E135-TODAY())</x:f>
      </x:c>
      <x:c r="G135" s="166" t="str">
        <x:f>IF(E135="","No Date",IF(F135&lt;=INDEX('Client Overview'!$K$5:$K$10,MATCH(B135,'Client Overview'!$H$5:$H$10,0))*30.4375,"Red",IF(F135&lt;=INDEX('Client Overview'!$J$5:$J$10,MATCH(B135,'Client Overview'!$H$5:$H$10,0))*30.4375,"Yellow","Green")))</x:f>
        <x:v>No Date</x:v>
      </x:c>
    </x:row>
    <x:row r="136" ht="22" customHeight="1">
      <x:c r="A136" s="159" t="str">
        <x:f>INDEX('Client Overview'!$A$6:$A$40,INT((ROW()-16)/6)+1)</x:f>
        <x:v>Organization 21</x:v>
      </x:c>
      <x:c r="B136" s="160" t="str">
        <x:f>INDEX('Client Overview'!$B$5:$G$5,1,MOD(ROW()-16,6)+1)</x:f>
        <x:v>Policy #1</x:v>
      </x:c>
      <x:c r="C136" s="170" t="n">
        <x:f>IFERROR(INDEX('Client Overview'!$B$6:$G$40,MATCH(A136,'Client Overview'!$A$6:$A$40,0),MATCH(B136,'Client Overview'!$B$5:$G$5,0)),"")</x:f>
        <x:v>46037</x:v>
      </x:c>
      <x:c r="D136" s="173" t="n">
        <x:f>IFERROR(INDEX('Client Overview'!$I$5:$I$10,MATCH(B136,'Client Overview'!$H$5:$H$10,0)),"")</x:f>
        <x:v>15</x:v>
      </x:c>
      <x:c r="E136" s="170" t="n">
        <x:f>IF(OR(C136="",D136=""),"",EDATE(C136,D136))</x:f>
        <x:v>46492</x:v>
      </x:c>
      <x:c r="F136" s="173" t="n">
        <x:f>IF(E136="","",E136-TODAY())</x:f>
        <x:v>239</x:v>
      </x:c>
      <x:c r="G136" s="166" t="str">
        <x:f>IF(E136="","No Date",IF(F136&lt;=INDEX('Client Overview'!$K$5:$K$10,MATCH(B136,'Client Overview'!$H$5:$H$10,0))*30.4375,"Red",IF(F136&lt;=INDEX('Client Overview'!$J$5:$J$10,MATCH(B136,'Client Overview'!$H$5:$H$10,0))*30.4375,"Yellow","Green")))</x:f>
        <x:v>Green</x:v>
      </x:c>
    </x:row>
    <x:row r="137" ht="22" customHeight="1">
      <x:c r="A137" s="159" t="str">
        <x:f>INDEX('Client Overview'!$A$6:$A$40,INT((ROW()-16)/6)+1)</x:f>
        <x:v>Organization 21</x:v>
      </x:c>
      <x:c r="B137" s="160" t="str">
        <x:f>INDEX('Client Overview'!$B$5:$G$5,1,MOD(ROW()-16,6)+1)</x:f>
        <x:v>Policy #2–7</x:v>
      </x:c>
      <x:c r="C137" s="170" t="n">
        <x:f>IFERROR(INDEX('Client Overview'!$B$6:$G$40,MATCH(A137,'Client Overview'!$A$6:$A$40,0),MATCH(B137,'Client Overview'!$B$5:$G$5,0)),"")</x:f>
        <x:v>46037</x:v>
      </x:c>
      <x:c r="D137" s="173" t="n">
        <x:f>IFERROR(INDEX('Client Overview'!$I$5:$I$10,MATCH(B137,'Client Overview'!$H$5:$H$10,0)),"")</x:f>
        <x:v>15</x:v>
      </x:c>
      <x:c r="E137" s="170" t="n">
        <x:f>IF(OR(C137="",D137=""),"",EDATE(C137,D137))</x:f>
        <x:v>46492</x:v>
      </x:c>
      <x:c r="F137" s="173" t="n">
        <x:f>IF(E137="","",E137-TODAY())</x:f>
        <x:v>239</x:v>
      </x:c>
      <x:c r="G137" s="166" t="str">
        <x:f>IF(E137="","No Date",IF(F137&lt;=INDEX('Client Overview'!$K$5:$K$10,MATCH(B137,'Client Overview'!$H$5:$H$10,0))*30.4375,"Red",IF(F137&lt;=INDEX('Client Overview'!$J$5:$J$10,MATCH(B137,'Client Overview'!$H$5:$H$10,0))*30.4375,"Yellow","Green")))</x:f>
        <x:v>Green</x:v>
      </x:c>
    </x:row>
    <x:row r="138" ht="22" customHeight="1">
      <x:c r="A138" s="159" t="str">
        <x:f>INDEX('Client Overview'!$A$6:$A$40,INT((ROW()-16)/6)+1)</x:f>
        <x:v>Organization 21</x:v>
      </x:c>
      <x:c r="B138" s="160" t="str">
        <x:f>INDEX('Client Overview'!$B$5:$G$5,1,MOD(ROW()-16,6)+1)</x:f>
        <x:v>Annual Review</x:v>
      </x:c>
      <x:c r="C138" s="170" t="n">
        <x:f>IFERROR(INDEX('Client Overview'!$B$6:$G$40,MATCH(A138,'Client Overview'!$A$6:$A$40,0),MATCH(B138,'Client Overview'!$B$5:$G$5,0)),"")</x:f>
        <x:v>46037</x:v>
      </x:c>
      <x:c r="D138" s="173" t="n">
        <x:f>IFERROR(INDEX('Client Overview'!$I$5:$I$10,MATCH(B138,'Client Overview'!$H$5:$H$10,0)),"")</x:f>
        <x:v>15</x:v>
      </x:c>
      <x:c r="E138" s="170" t="n">
        <x:f>IF(OR(C138="",D138=""),"",EDATE(C138,D138))</x:f>
        <x:v>46492</x:v>
      </x:c>
      <x:c r="F138" s="173" t="n">
        <x:f>IF(E138="","",E138-TODAY())</x:f>
        <x:v>239</x:v>
      </x:c>
      <x:c r="G138" s="166" t="str">
        <x:f>IF(E138="","No Date",IF(F138&lt;=INDEX('Client Overview'!$K$5:$K$10,MATCH(B138,'Client Overview'!$H$5:$H$10,0))*30.4375,"Red",IF(F138&lt;=INDEX('Client Overview'!$J$5:$J$10,MATCH(B138,'Client Overview'!$H$5:$H$10,0))*30.4375,"Yellow","Green")))</x:f>
        <x:v>Green</x:v>
      </x:c>
    </x:row>
    <x:row r="139" ht="22" customHeight="1">
      <x:c r="A139" s="159" t="str">
        <x:f>INDEX('Client Overview'!$A$6:$A$40,INT((ROW()-16)/6)+1)</x:f>
        <x:v>Organization 21</x:v>
      </x:c>
      <x:c r="B139" s="160" t="str">
        <x:f>INDEX('Client Overview'!$B$5:$G$5,1,MOD(ROW()-16,6)+1)</x:f>
        <x:v>CSIRP Tabletop Completion</x:v>
      </x:c>
      <x:c r="C139" s="170" t="n">
        <x:f>IFERROR(INDEX('Client Overview'!$B$6:$G$40,MATCH(A139,'Client Overview'!$A$6:$A$40,0),MATCH(B139,'Client Overview'!$B$5:$G$5,0)),"")</x:f>
        <x:v>45214</x:v>
      </x:c>
      <x:c r="D139" s="173" t="n">
        <x:f>IFERROR(INDEX('Client Overview'!$I$5:$I$10,MATCH(B139,'Client Overview'!$H$5:$H$10,0)),"")</x:f>
        <x:v>36</x:v>
      </x:c>
      <x:c r="E139" s="170" t="n">
        <x:f>IF(OR(C139="",D139=""),"",EDATE(C139,D139))</x:f>
        <x:v>46310</x:v>
      </x:c>
      <x:c r="F139" s="173" t="n">
        <x:f>IF(E139="","",E139-TODAY())</x:f>
        <x:v>57</x:v>
      </x:c>
      <x:c r="G139" s="166" t="str">
        <x:f>IF(E139="","No Date",IF(F139&lt;=INDEX('Client Overview'!$K$5:$K$10,MATCH(B139,'Client Overview'!$H$5:$H$10,0))*30.4375,"Red",IF(F139&lt;=INDEX('Client Overview'!$J$5:$J$10,MATCH(B139,'Client Overview'!$H$5:$H$10,0))*30.4375,"Yellow","Green")))</x:f>
        <x:v>Red</x:v>
      </x:c>
    </x:row>
    <x:row r="140" ht="22" customHeight="1">
      <x:c r="A140" s="159" t="str">
        <x:f>INDEX('Client Overview'!$A$6:$A$40,INT((ROW()-16)/6)+1)</x:f>
        <x:v>Organization 21</x:v>
      </x:c>
      <x:c r="B140" s="160" t="str">
        <x:f>INDEX('Client Overview'!$B$5:$G$5,1,MOD(ROW()-16,6)+1)</x:f>
        <x:v>RSAW Evidence Tracker</x:v>
      </x:c>
      <x:c r="C140" s="170" t="n">
        <x:f>IFERROR(INDEX('Client Overview'!$B$6:$G$40,MATCH(A140,'Client Overview'!$A$6:$A$40,0),MATCH(B140,'Client Overview'!$B$5:$G$5,0)),"")</x:f>
        <x:v>46174</x:v>
      </x:c>
      <x:c r="D140" s="173" t="n">
        <x:f>IFERROR(INDEX('Client Overview'!$I$5:$I$10,MATCH(B140,'Client Overview'!$H$5:$H$10,0)),"")</x:f>
        <x:v>12</x:v>
      </x:c>
      <x:c r="E140" s="170" t="n">
        <x:f>IF(OR(C140="",D140=""),"",EDATE(C140,D140))</x:f>
        <x:v>46539</x:v>
      </x:c>
      <x:c r="F140" s="173" t="n">
        <x:f>IF(E140="","",E140-TODAY())</x:f>
        <x:v>286</x:v>
      </x:c>
      <x:c r="G140" s="166" t="str">
        <x:f>IF(E140="","No Date",IF(F140&lt;=INDEX('Client Overview'!$K$5:$K$10,MATCH(B140,'Client Overview'!$H$5:$H$10,0))*30.4375,"Red",IF(F140&lt;=INDEX('Client Overview'!$J$5:$J$10,MATCH(B140,'Client Overview'!$H$5:$H$10,0))*30.4375,"Yellow","Green")))</x:f>
        <x:v>Green</x:v>
      </x:c>
    </x:row>
    <x:row r="141" ht="22" customHeight="1">
      <x:c r="A141" s="159" t="str">
        <x:f>INDEX('Client Overview'!$A$6:$A$40,INT((ROW()-16)/6)+1)</x:f>
        <x:v>Organization 21</x:v>
      </x:c>
      <x:c r="B141" s="160" t="str">
        <x:f>INDEX('Client Overview'!$B$5:$G$5,1,MOD(ROW()-16,6)+1)</x:f>
        <x:v>CIP Monthly Questions</x:v>
      </x:c>
      <x:c r="C141" s="170" t="str">
        <x:f>IFERROR(INDEX('Client Overview'!$B$6:$G$40,MATCH(A141,'Client Overview'!$A$6:$A$40,0),MATCH(B141,'Client Overview'!$B$5:$G$5,0)),"")</x:f>
      </x:c>
      <x:c r="D141" s="173" t="n">
        <x:f>IFERROR(INDEX('Client Overview'!$I$5:$I$10,MATCH(B141,'Client Overview'!$H$5:$H$10,0)),"")</x:f>
        <x:v>1</x:v>
      </x:c>
      <x:c r="E141" s="170" t="str">
        <x:f>IF(OR(C141="",D141=""),"",EDATE(C141,D141))</x:f>
      </x:c>
      <x:c r="F141" s="173" t="str">
        <x:f>IF(E141="","",E141-TODAY())</x:f>
      </x:c>
      <x:c r="G141" s="166" t="str">
        <x:f>IF(E141="","No Date",IF(F141&lt;=INDEX('Client Overview'!$K$5:$K$10,MATCH(B141,'Client Overview'!$H$5:$H$10,0))*30.4375,"Red",IF(F141&lt;=INDEX('Client Overview'!$J$5:$J$10,MATCH(B141,'Client Overview'!$H$5:$H$10,0))*30.4375,"Yellow","Green")))</x:f>
        <x:v>No Date</x:v>
      </x:c>
    </x:row>
    <x:row r="142" ht="22" customHeight="1">
      <x:c r="A142" s="159" t="str">
        <x:f>INDEX('Client Overview'!$A$6:$A$40,INT((ROW()-16)/6)+1)</x:f>
        <x:v>Organization 22</x:v>
      </x:c>
      <x:c r="B142" s="160" t="str">
        <x:f>INDEX('Client Overview'!$B$5:$G$5,1,MOD(ROW()-16,6)+1)</x:f>
        <x:v>Policy #1</x:v>
      </x:c>
      <x:c r="C142" s="170" t="n">
        <x:f>IFERROR(INDEX('Client Overview'!$B$6:$G$40,MATCH(A142,'Client Overview'!$A$6:$A$40,0),MATCH(B142,'Client Overview'!$B$5:$G$5,0)),"")</x:f>
        <x:v>46037</x:v>
      </x:c>
      <x:c r="D142" s="173" t="n">
        <x:f>IFERROR(INDEX('Client Overview'!$I$5:$I$10,MATCH(B142,'Client Overview'!$H$5:$H$10,0)),"")</x:f>
        <x:v>15</x:v>
      </x:c>
      <x:c r="E142" s="170" t="n">
        <x:f>IF(OR(C142="",D142=""),"",EDATE(C142,D142))</x:f>
        <x:v>46492</x:v>
      </x:c>
      <x:c r="F142" s="173" t="n">
        <x:f>IF(E142="","",E142-TODAY())</x:f>
        <x:v>239</x:v>
      </x:c>
      <x:c r="G142" s="166" t="str">
        <x:f>IF(E142="","No Date",IF(F142&lt;=INDEX('Client Overview'!$K$5:$K$10,MATCH(B142,'Client Overview'!$H$5:$H$10,0))*30.4375,"Red",IF(F142&lt;=INDEX('Client Overview'!$J$5:$J$10,MATCH(B142,'Client Overview'!$H$5:$H$10,0))*30.4375,"Yellow","Green")))</x:f>
        <x:v>Green</x:v>
      </x:c>
    </x:row>
    <x:row r="143" ht="22" customHeight="1">
      <x:c r="A143" s="159" t="str">
        <x:f>INDEX('Client Overview'!$A$6:$A$40,INT((ROW()-16)/6)+1)</x:f>
        <x:v>Organization 22</x:v>
      </x:c>
      <x:c r="B143" s="160" t="str">
        <x:f>INDEX('Client Overview'!$B$5:$G$5,1,MOD(ROW()-16,6)+1)</x:f>
        <x:v>Policy #2–7</x:v>
      </x:c>
      <x:c r="C143" s="170" t="n">
        <x:f>IFERROR(INDEX('Client Overview'!$B$6:$G$40,MATCH(A143,'Client Overview'!$A$6:$A$40,0),MATCH(B143,'Client Overview'!$B$5:$G$5,0)),"")</x:f>
        <x:v>46037</x:v>
      </x:c>
      <x:c r="D143" s="173" t="n">
        <x:f>IFERROR(INDEX('Client Overview'!$I$5:$I$10,MATCH(B143,'Client Overview'!$H$5:$H$10,0)),"")</x:f>
        <x:v>15</x:v>
      </x:c>
      <x:c r="E143" s="170" t="n">
        <x:f>IF(OR(C143="",D143=""),"",EDATE(C143,D143))</x:f>
        <x:v>46492</x:v>
      </x:c>
      <x:c r="F143" s="173" t="n">
        <x:f>IF(E143="","",E143-TODAY())</x:f>
        <x:v>239</x:v>
      </x:c>
      <x:c r="G143" s="166" t="str">
        <x:f>IF(E143="","No Date",IF(F143&lt;=INDEX('Client Overview'!$K$5:$K$10,MATCH(B143,'Client Overview'!$H$5:$H$10,0))*30.4375,"Red",IF(F143&lt;=INDEX('Client Overview'!$J$5:$J$10,MATCH(B143,'Client Overview'!$H$5:$H$10,0))*30.4375,"Yellow","Green")))</x:f>
        <x:v>Green</x:v>
      </x:c>
    </x:row>
    <x:row r="144" ht="22" customHeight="1">
      <x:c r="A144" s="159" t="str">
        <x:f>INDEX('Client Overview'!$A$6:$A$40,INT((ROW()-16)/6)+1)</x:f>
        <x:v>Organization 22</x:v>
      </x:c>
      <x:c r="B144" s="160" t="str">
        <x:f>INDEX('Client Overview'!$B$5:$G$5,1,MOD(ROW()-16,6)+1)</x:f>
        <x:v>Annual Review</x:v>
      </x:c>
      <x:c r="C144" s="170" t="n">
        <x:f>IFERROR(INDEX('Client Overview'!$B$6:$G$40,MATCH(A144,'Client Overview'!$A$6:$A$40,0),MATCH(B144,'Client Overview'!$B$5:$G$5,0)),"")</x:f>
        <x:v>46037</x:v>
      </x:c>
      <x:c r="D144" s="173" t="n">
        <x:f>IFERROR(INDEX('Client Overview'!$I$5:$I$10,MATCH(B144,'Client Overview'!$H$5:$H$10,0)),"")</x:f>
        <x:v>15</x:v>
      </x:c>
      <x:c r="E144" s="170" t="n">
        <x:f>IF(OR(C144="",D144=""),"",EDATE(C144,D144))</x:f>
        <x:v>46492</x:v>
      </x:c>
      <x:c r="F144" s="173" t="n">
        <x:f>IF(E144="","",E144-TODAY())</x:f>
        <x:v>239</x:v>
      </x:c>
      <x:c r="G144" s="166" t="str">
        <x:f>IF(E144="","No Date",IF(F144&lt;=INDEX('Client Overview'!$K$5:$K$10,MATCH(B144,'Client Overview'!$H$5:$H$10,0))*30.4375,"Red",IF(F144&lt;=INDEX('Client Overview'!$J$5:$J$10,MATCH(B144,'Client Overview'!$H$5:$H$10,0))*30.4375,"Yellow","Green")))</x:f>
        <x:v>Green</x:v>
      </x:c>
    </x:row>
    <x:row r="145" ht="22" customHeight="1">
      <x:c r="A145" s="159" t="str">
        <x:f>INDEX('Client Overview'!$A$6:$A$40,INT((ROW()-16)/6)+1)</x:f>
        <x:v>Organization 22</x:v>
      </x:c>
      <x:c r="B145" s="160" t="str">
        <x:f>INDEX('Client Overview'!$B$5:$G$5,1,MOD(ROW()-16,6)+1)</x:f>
        <x:v>CSIRP Tabletop Completion</x:v>
      </x:c>
      <x:c r="C145" s="170" t="n">
        <x:f>IFERROR(INDEX('Client Overview'!$B$6:$G$40,MATCH(A145,'Client Overview'!$A$6:$A$40,0),MATCH(B145,'Client Overview'!$B$5:$G$5,0)),"")</x:f>
        <x:v>45214</x:v>
      </x:c>
      <x:c r="D145" s="173" t="n">
        <x:f>IFERROR(INDEX('Client Overview'!$I$5:$I$10,MATCH(B145,'Client Overview'!$H$5:$H$10,0)),"")</x:f>
        <x:v>36</x:v>
      </x:c>
      <x:c r="E145" s="170" t="n">
        <x:f>IF(OR(C145="",D145=""),"",EDATE(C145,D145))</x:f>
        <x:v>46310</x:v>
      </x:c>
      <x:c r="F145" s="173" t="n">
        <x:f>IF(E145="","",E145-TODAY())</x:f>
        <x:v>57</x:v>
      </x:c>
      <x:c r="G145" s="166" t="str">
        <x:f>IF(E145="","No Date",IF(F145&lt;=INDEX('Client Overview'!$K$5:$K$10,MATCH(B145,'Client Overview'!$H$5:$H$10,0))*30.4375,"Red",IF(F145&lt;=INDEX('Client Overview'!$J$5:$J$10,MATCH(B145,'Client Overview'!$H$5:$H$10,0))*30.4375,"Yellow","Green")))</x:f>
        <x:v>Red</x:v>
      </x:c>
    </x:row>
    <x:row r="146" ht="22" customHeight="1">
      <x:c r="A146" s="159" t="str">
        <x:f>INDEX('Client Overview'!$A$6:$A$40,INT((ROW()-16)/6)+1)</x:f>
        <x:v>Organization 22</x:v>
      </x:c>
      <x:c r="B146" s="160" t="str">
        <x:f>INDEX('Client Overview'!$B$5:$G$5,1,MOD(ROW()-16,6)+1)</x:f>
        <x:v>RSAW Evidence Tracker</x:v>
      </x:c>
      <x:c r="C146" s="170" t="n">
        <x:f>IFERROR(INDEX('Client Overview'!$B$6:$G$40,MATCH(A146,'Client Overview'!$A$6:$A$40,0),MATCH(B146,'Client Overview'!$B$5:$G$5,0)),"")</x:f>
        <x:v>46174</x:v>
      </x:c>
      <x:c r="D146" s="173" t="n">
        <x:f>IFERROR(INDEX('Client Overview'!$I$5:$I$10,MATCH(B146,'Client Overview'!$H$5:$H$10,0)),"")</x:f>
        <x:v>12</x:v>
      </x:c>
      <x:c r="E146" s="170" t="n">
        <x:f>IF(OR(C146="",D146=""),"",EDATE(C146,D146))</x:f>
        <x:v>46539</x:v>
      </x:c>
      <x:c r="F146" s="173" t="n">
        <x:f>IF(E146="","",E146-TODAY())</x:f>
        <x:v>286</x:v>
      </x:c>
      <x:c r="G146" s="166" t="str">
        <x:f>IF(E146="","No Date",IF(F146&lt;=INDEX('Client Overview'!$K$5:$K$10,MATCH(B146,'Client Overview'!$H$5:$H$10,0))*30.4375,"Red",IF(F146&lt;=INDEX('Client Overview'!$J$5:$J$10,MATCH(B146,'Client Overview'!$H$5:$H$10,0))*30.4375,"Yellow","Green")))</x:f>
        <x:v>Green</x:v>
      </x:c>
    </x:row>
    <x:row r="147" ht="22" customHeight="1">
      <x:c r="A147" s="159" t="str">
        <x:f>INDEX('Client Overview'!$A$6:$A$40,INT((ROW()-16)/6)+1)</x:f>
        <x:v>Organization 22</x:v>
      </x:c>
      <x:c r="B147" s="160" t="str">
        <x:f>INDEX('Client Overview'!$B$5:$G$5,1,MOD(ROW()-16,6)+1)</x:f>
        <x:v>CIP Monthly Questions</x:v>
      </x:c>
      <x:c r="C147" s="170" t="str">
        <x:f>IFERROR(INDEX('Client Overview'!$B$6:$G$40,MATCH(A147,'Client Overview'!$A$6:$A$40,0),MATCH(B147,'Client Overview'!$B$5:$G$5,0)),"")</x:f>
      </x:c>
      <x:c r="D147" s="173" t="n">
        <x:f>IFERROR(INDEX('Client Overview'!$I$5:$I$10,MATCH(B147,'Client Overview'!$H$5:$H$10,0)),"")</x:f>
        <x:v>1</x:v>
      </x:c>
      <x:c r="E147" s="170" t="str">
        <x:f>IF(OR(C147="",D147=""),"",EDATE(C147,D147))</x:f>
      </x:c>
      <x:c r="F147" s="173" t="str">
        <x:f>IF(E147="","",E147-TODAY())</x:f>
      </x:c>
      <x:c r="G147" s="166" t="str">
        <x:f>IF(E147="","No Date",IF(F147&lt;=INDEX('Client Overview'!$K$5:$K$10,MATCH(B147,'Client Overview'!$H$5:$H$10,0))*30.4375,"Red",IF(F147&lt;=INDEX('Client Overview'!$J$5:$J$10,MATCH(B147,'Client Overview'!$H$5:$H$10,0))*30.4375,"Yellow","Green")))</x:f>
        <x:v>No Date</x:v>
      </x:c>
    </x:row>
    <x:row r="148" ht="22" customHeight="1">
      <x:c r="A148" s="159" t="str">
        <x:f>INDEX('Client Overview'!$A$6:$A$40,INT((ROW()-16)/6)+1)</x:f>
        <x:v>Organization 23</x:v>
      </x:c>
      <x:c r="B148" s="160" t="str">
        <x:f>INDEX('Client Overview'!$B$5:$G$5,1,MOD(ROW()-16,6)+1)</x:f>
        <x:v>Policy #1</x:v>
      </x:c>
      <x:c r="C148" s="170" t="n">
        <x:f>IFERROR(INDEX('Client Overview'!$B$6:$G$40,MATCH(A148,'Client Overview'!$A$6:$A$40,0),MATCH(B148,'Client Overview'!$B$5:$G$5,0)),"")</x:f>
        <x:v>46037</x:v>
      </x:c>
      <x:c r="D148" s="173" t="n">
        <x:f>IFERROR(INDEX('Client Overview'!$I$5:$I$10,MATCH(B148,'Client Overview'!$H$5:$H$10,0)),"")</x:f>
        <x:v>15</x:v>
      </x:c>
      <x:c r="E148" s="170" t="n">
        <x:f>IF(OR(C148="",D148=""),"",EDATE(C148,D148))</x:f>
        <x:v>46492</x:v>
      </x:c>
      <x:c r="F148" s="173" t="n">
        <x:f>IF(E148="","",E148-TODAY())</x:f>
        <x:v>239</x:v>
      </x:c>
      <x:c r="G148" s="166" t="str">
        <x:f>IF(E148="","No Date",IF(F148&lt;=INDEX('Client Overview'!$K$5:$K$10,MATCH(B148,'Client Overview'!$H$5:$H$10,0))*30.4375,"Red",IF(F148&lt;=INDEX('Client Overview'!$J$5:$J$10,MATCH(B148,'Client Overview'!$H$5:$H$10,0))*30.4375,"Yellow","Green")))</x:f>
        <x:v>Green</x:v>
      </x:c>
    </x:row>
    <x:row r="149" ht="22" customHeight="1">
      <x:c r="A149" s="159" t="str">
        <x:f>INDEX('Client Overview'!$A$6:$A$40,INT((ROW()-16)/6)+1)</x:f>
        <x:v>Organization 23</x:v>
      </x:c>
      <x:c r="B149" s="160" t="str">
        <x:f>INDEX('Client Overview'!$B$5:$G$5,1,MOD(ROW()-16,6)+1)</x:f>
        <x:v>Policy #2–7</x:v>
      </x:c>
      <x:c r="C149" s="170" t="n">
        <x:f>IFERROR(INDEX('Client Overview'!$B$6:$G$40,MATCH(A149,'Client Overview'!$A$6:$A$40,0),MATCH(B149,'Client Overview'!$B$5:$G$5,0)),"")</x:f>
        <x:v>46037</x:v>
      </x:c>
      <x:c r="D149" s="173" t="n">
        <x:f>IFERROR(INDEX('Client Overview'!$I$5:$I$10,MATCH(B149,'Client Overview'!$H$5:$H$10,0)),"")</x:f>
        <x:v>15</x:v>
      </x:c>
      <x:c r="E149" s="170" t="n">
        <x:f>IF(OR(C149="",D149=""),"",EDATE(C149,D149))</x:f>
        <x:v>46492</x:v>
      </x:c>
      <x:c r="F149" s="173" t="n">
        <x:f>IF(E149="","",E149-TODAY())</x:f>
        <x:v>239</x:v>
      </x:c>
      <x:c r="G149" s="166" t="str">
        <x:f>IF(E149="","No Date",IF(F149&lt;=INDEX('Client Overview'!$K$5:$K$10,MATCH(B149,'Client Overview'!$H$5:$H$10,0))*30.4375,"Red",IF(F149&lt;=INDEX('Client Overview'!$J$5:$J$10,MATCH(B149,'Client Overview'!$H$5:$H$10,0))*30.4375,"Yellow","Green")))</x:f>
        <x:v>Green</x:v>
      </x:c>
    </x:row>
    <x:row r="150" ht="22" customHeight="1">
      <x:c r="A150" s="159" t="str">
        <x:f>INDEX('Client Overview'!$A$6:$A$40,INT((ROW()-16)/6)+1)</x:f>
        <x:v>Organization 23</x:v>
      </x:c>
      <x:c r="B150" s="160" t="str">
        <x:f>INDEX('Client Overview'!$B$5:$G$5,1,MOD(ROW()-16,6)+1)</x:f>
        <x:v>Annual Review</x:v>
      </x:c>
      <x:c r="C150" s="170" t="n">
        <x:f>IFERROR(INDEX('Client Overview'!$B$6:$G$40,MATCH(A150,'Client Overview'!$A$6:$A$40,0),MATCH(B150,'Client Overview'!$B$5:$G$5,0)),"")</x:f>
        <x:v>46037</x:v>
      </x:c>
      <x:c r="D150" s="173" t="n">
        <x:f>IFERROR(INDEX('Client Overview'!$I$5:$I$10,MATCH(B150,'Client Overview'!$H$5:$H$10,0)),"")</x:f>
        <x:v>15</x:v>
      </x:c>
      <x:c r="E150" s="170" t="n">
        <x:f>IF(OR(C150="",D150=""),"",EDATE(C150,D150))</x:f>
        <x:v>46492</x:v>
      </x:c>
      <x:c r="F150" s="173" t="n">
        <x:f>IF(E150="","",E150-TODAY())</x:f>
        <x:v>239</x:v>
      </x:c>
      <x:c r="G150" s="166" t="str">
        <x:f>IF(E150="","No Date",IF(F150&lt;=INDEX('Client Overview'!$K$5:$K$10,MATCH(B150,'Client Overview'!$H$5:$H$10,0))*30.4375,"Red",IF(F150&lt;=INDEX('Client Overview'!$J$5:$J$10,MATCH(B150,'Client Overview'!$H$5:$H$10,0))*30.4375,"Yellow","Green")))</x:f>
        <x:v>Green</x:v>
      </x:c>
    </x:row>
    <x:row r="151" ht="22" customHeight="1">
      <x:c r="A151" s="159" t="str">
        <x:f>INDEX('Client Overview'!$A$6:$A$40,INT((ROW()-16)/6)+1)</x:f>
        <x:v>Organization 23</x:v>
      </x:c>
      <x:c r="B151" s="160" t="str">
        <x:f>INDEX('Client Overview'!$B$5:$G$5,1,MOD(ROW()-16,6)+1)</x:f>
        <x:v>CSIRP Tabletop Completion</x:v>
      </x:c>
      <x:c r="C151" s="170" t="n">
        <x:f>IFERROR(INDEX('Client Overview'!$B$6:$G$40,MATCH(A151,'Client Overview'!$A$6:$A$40,0),MATCH(B151,'Client Overview'!$B$5:$G$5,0)),"")</x:f>
        <x:v>45214</x:v>
      </x:c>
      <x:c r="D151" s="173" t="n">
        <x:f>IFERROR(INDEX('Client Overview'!$I$5:$I$10,MATCH(B151,'Client Overview'!$H$5:$H$10,0)),"")</x:f>
        <x:v>36</x:v>
      </x:c>
      <x:c r="E151" s="170" t="n">
        <x:f>IF(OR(C151="",D151=""),"",EDATE(C151,D151))</x:f>
        <x:v>46310</x:v>
      </x:c>
      <x:c r="F151" s="173" t="n">
        <x:f>IF(E151="","",E151-TODAY())</x:f>
        <x:v>57</x:v>
      </x:c>
      <x:c r="G151" s="166" t="str">
        <x:f>IF(E151="","No Date",IF(F151&lt;=INDEX('Client Overview'!$K$5:$K$10,MATCH(B151,'Client Overview'!$H$5:$H$10,0))*30.4375,"Red",IF(F151&lt;=INDEX('Client Overview'!$J$5:$J$10,MATCH(B151,'Client Overview'!$H$5:$H$10,0))*30.4375,"Yellow","Green")))</x:f>
        <x:v>Red</x:v>
      </x:c>
    </x:row>
    <x:row r="152" ht="22" customHeight="1">
      <x:c r="A152" s="159" t="str">
        <x:f>INDEX('Client Overview'!$A$6:$A$40,INT((ROW()-16)/6)+1)</x:f>
        <x:v>Organization 23</x:v>
      </x:c>
      <x:c r="B152" s="160" t="str">
        <x:f>INDEX('Client Overview'!$B$5:$G$5,1,MOD(ROW()-16,6)+1)</x:f>
        <x:v>RSAW Evidence Tracker</x:v>
      </x:c>
      <x:c r="C152" s="170" t="n">
        <x:f>IFERROR(INDEX('Client Overview'!$B$6:$G$40,MATCH(A152,'Client Overview'!$A$6:$A$40,0),MATCH(B152,'Client Overview'!$B$5:$G$5,0)),"")</x:f>
        <x:v>46174</x:v>
      </x:c>
      <x:c r="D152" s="173" t="n">
        <x:f>IFERROR(INDEX('Client Overview'!$I$5:$I$10,MATCH(B152,'Client Overview'!$H$5:$H$10,0)),"")</x:f>
        <x:v>12</x:v>
      </x:c>
      <x:c r="E152" s="170" t="n">
        <x:f>IF(OR(C152="",D152=""),"",EDATE(C152,D152))</x:f>
        <x:v>46539</x:v>
      </x:c>
      <x:c r="F152" s="173" t="n">
        <x:f>IF(E152="","",E152-TODAY())</x:f>
        <x:v>286</x:v>
      </x:c>
      <x:c r="G152" s="166" t="str">
        <x:f>IF(E152="","No Date",IF(F152&lt;=INDEX('Client Overview'!$K$5:$K$10,MATCH(B152,'Client Overview'!$H$5:$H$10,0))*30.4375,"Red",IF(F152&lt;=INDEX('Client Overview'!$J$5:$J$10,MATCH(B152,'Client Overview'!$H$5:$H$10,0))*30.4375,"Yellow","Green")))</x:f>
        <x:v>Green</x:v>
      </x:c>
    </x:row>
    <x:row r="153" ht="22" customHeight="1">
      <x:c r="A153" s="159" t="str">
        <x:f>INDEX('Client Overview'!$A$6:$A$40,INT((ROW()-16)/6)+1)</x:f>
        <x:v>Organization 23</x:v>
      </x:c>
      <x:c r="B153" s="160" t="str">
        <x:f>INDEX('Client Overview'!$B$5:$G$5,1,MOD(ROW()-16,6)+1)</x:f>
        <x:v>CIP Monthly Questions</x:v>
      </x:c>
      <x:c r="C153" s="170" t="str">
        <x:f>IFERROR(INDEX('Client Overview'!$B$6:$G$40,MATCH(A153,'Client Overview'!$A$6:$A$40,0),MATCH(B153,'Client Overview'!$B$5:$G$5,0)),"")</x:f>
      </x:c>
      <x:c r="D153" s="173" t="n">
        <x:f>IFERROR(INDEX('Client Overview'!$I$5:$I$10,MATCH(B153,'Client Overview'!$H$5:$H$10,0)),"")</x:f>
        <x:v>1</x:v>
      </x:c>
      <x:c r="E153" s="170" t="str">
        <x:f>IF(OR(C153="",D153=""),"",EDATE(C153,D153))</x:f>
      </x:c>
      <x:c r="F153" s="173" t="str">
        <x:f>IF(E153="","",E153-TODAY())</x:f>
      </x:c>
      <x:c r="G153" s="166" t="str">
        <x:f>IF(E153="","No Date",IF(F153&lt;=INDEX('Client Overview'!$K$5:$K$10,MATCH(B153,'Client Overview'!$H$5:$H$10,0))*30.4375,"Red",IF(F153&lt;=INDEX('Client Overview'!$J$5:$J$10,MATCH(B153,'Client Overview'!$H$5:$H$10,0))*30.4375,"Yellow","Green")))</x:f>
        <x:v>No Date</x:v>
      </x:c>
    </x:row>
    <x:row r="154" ht="22" customHeight="1">
      <x:c r="A154" s="159" t="str">
        <x:f>INDEX('Client Overview'!$A$6:$A$40,INT((ROW()-16)/6)+1)</x:f>
        <x:v>Organization 24</x:v>
      </x:c>
      <x:c r="B154" s="160" t="str">
        <x:f>INDEX('Client Overview'!$B$5:$G$5,1,MOD(ROW()-16,6)+1)</x:f>
        <x:v>Policy #1</x:v>
      </x:c>
      <x:c r="C154" s="170" t="n">
        <x:f>IFERROR(INDEX('Client Overview'!$B$6:$G$40,MATCH(A154,'Client Overview'!$A$6:$A$40,0),MATCH(B154,'Client Overview'!$B$5:$G$5,0)),"")</x:f>
        <x:v>46037</x:v>
      </x:c>
      <x:c r="D154" s="173" t="n">
        <x:f>IFERROR(INDEX('Client Overview'!$I$5:$I$10,MATCH(B154,'Client Overview'!$H$5:$H$10,0)),"")</x:f>
        <x:v>15</x:v>
      </x:c>
      <x:c r="E154" s="170" t="n">
        <x:f>IF(OR(C154="",D154=""),"",EDATE(C154,D154))</x:f>
        <x:v>46492</x:v>
      </x:c>
      <x:c r="F154" s="173" t="n">
        <x:f>IF(E154="","",E154-TODAY())</x:f>
        <x:v>239</x:v>
      </x:c>
      <x:c r="G154" s="166" t="str">
        <x:f>IF(E154="","No Date",IF(F154&lt;=INDEX('Client Overview'!$K$5:$K$10,MATCH(B154,'Client Overview'!$H$5:$H$10,0))*30.4375,"Red",IF(F154&lt;=INDEX('Client Overview'!$J$5:$J$10,MATCH(B154,'Client Overview'!$H$5:$H$10,0))*30.4375,"Yellow","Green")))</x:f>
        <x:v>Green</x:v>
      </x:c>
    </x:row>
    <x:row r="155" ht="22" customHeight="1">
      <x:c r="A155" s="159" t="str">
        <x:f>INDEX('Client Overview'!$A$6:$A$40,INT((ROW()-16)/6)+1)</x:f>
        <x:v>Organization 24</x:v>
      </x:c>
      <x:c r="B155" s="160" t="str">
        <x:f>INDEX('Client Overview'!$B$5:$G$5,1,MOD(ROW()-16,6)+1)</x:f>
        <x:v>Policy #2–7</x:v>
      </x:c>
      <x:c r="C155" s="170" t="n">
        <x:f>IFERROR(INDEX('Client Overview'!$B$6:$G$40,MATCH(A155,'Client Overview'!$A$6:$A$40,0),MATCH(B155,'Client Overview'!$B$5:$G$5,0)),"")</x:f>
        <x:v>46037</x:v>
      </x:c>
      <x:c r="D155" s="173" t="n">
        <x:f>IFERROR(INDEX('Client Overview'!$I$5:$I$10,MATCH(B155,'Client Overview'!$H$5:$H$10,0)),"")</x:f>
        <x:v>15</x:v>
      </x:c>
      <x:c r="E155" s="170" t="n">
        <x:f>IF(OR(C155="",D155=""),"",EDATE(C155,D155))</x:f>
        <x:v>46492</x:v>
      </x:c>
      <x:c r="F155" s="173" t="n">
        <x:f>IF(E155="","",E155-TODAY())</x:f>
        <x:v>239</x:v>
      </x:c>
      <x:c r="G155" s="166" t="str">
        <x:f>IF(E155="","No Date",IF(F155&lt;=INDEX('Client Overview'!$K$5:$K$10,MATCH(B155,'Client Overview'!$H$5:$H$10,0))*30.4375,"Red",IF(F155&lt;=INDEX('Client Overview'!$J$5:$J$10,MATCH(B155,'Client Overview'!$H$5:$H$10,0))*30.4375,"Yellow","Green")))</x:f>
        <x:v>Green</x:v>
      </x:c>
    </x:row>
    <x:row r="156" ht="22" customHeight="1">
      <x:c r="A156" s="159" t="str">
        <x:f>INDEX('Client Overview'!$A$6:$A$40,INT((ROW()-16)/6)+1)</x:f>
        <x:v>Organization 24</x:v>
      </x:c>
      <x:c r="B156" s="160" t="str">
        <x:f>INDEX('Client Overview'!$B$5:$G$5,1,MOD(ROW()-16,6)+1)</x:f>
        <x:v>Annual Review</x:v>
      </x:c>
      <x:c r="C156" s="170" t="n">
        <x:f>IFERROR(INDEX('Client Overview'!$B$6:$G$40,MATCH(A156,'Client Overview'!$A$6:$A$40,0),MATCH(B156,'Client Overview'!$B$5:$G$5,0)),"")</x:f>
        <x:v>46037</x:v>
      </x:c>
      <x:c r="D156" s="173" t="n">
        <x:f>IFERROR(INDEX('Client Overview'!$I$5:$I$10,MATCH(B156,'Client Overview'!$H$5:$H$10,0)),"")</x:f>
        <x:v>15</x:v>
      </x:c>
      <x:c r="E156" s="170" t="n">
        <x:f>IF(OR(C156="",D156=""),"",EDATE(C156,D156))</x:f>
        <x:v>46492</x:v>
      </x:c>
      <x:c r="F156" s="173" t="n">
        <x:f>IF(E156="","",E156-TODAY())</x:f>
        <x:v>239</x:v>
      </x:c>
      <x:c r="G156" s="166" t="str">
        <x:f>IF(E156="","No Date",IF(F156&lt;=INDEX('Client Overview'!$K$5:$K$10,MATCH(B156,'Client Overview'!$H$5:$H$10,0))*30.4375,"Red",IF(F156&lt;=INDEX('Client Overview'!$J$5:$J$10,MATCH(B156,'Client Overview'!$H$5:$H$10,0))*30.4375,"Yellow","Green")))</x:f>
        <x:v>Green</x:v>
      </x:c>
    </x:row>
    <x:row r="157" ht="22" customHeight="1">
      <x:c r="A157" s="159" t="str">
        <x:f>INDEX('Client Overview'!$A$6:$A$40,INT((ROW()-16)/6)+1)</x:f>
        <x:v>Organization 24</x:v>
      </x:c>
      <x:c r="B157" s="160" t="str">
        <x:f>INDEX('Client Overview'!$B$5:$G$5,1,MOD(ROW()-16,6)+1)</x:f>
        <x:v>CSIRP Tabletop Completion</x:v>
      </x:c>
      <x:c r="C157" s="170" t="n">
        <x:f>IFERROR(INDEX('Client Overview'!$B$6:$G$40,MATCH(A157,'Client Overview'!$A$6:$A$40,0),MATCH(B157,'Client Overview'!$B$5:$G$5,0)),"")</x:f>
        <x:v>45214</x:v>
      </x:c>
      <x:c r="D157" s="173" t="n">
        <x:f>IFERROR(INDEX('Client Overview'!$I$5:$I$10,MATCH(B157,'Client Overview'!$H$5:$H$10,0)),"")</x:f>
        <x:v>36</x:v>
      </x:c>
      <x:c r="E157" s="170" t="n">
        <x:f>IF(OR(C157="",D157=""),"",EDATE(C157,D157))</x:f>
        <x:v>46310</x:v>
      </x:c>
      <x:c r="F157" s="173" t="n">
        <x:f>IF(E157="","",E157-TODAY())</x:f>
        <x:v>57</x:v>
      </x:c>
      <x:c r="G157" s="166" t="str">
        <x:f>IF(E157="","No Date",IF(F157&lt;=INDEX('Client Overview'!$K$5:$K$10,MATCH(B157,'Client Overview'!$H$5:$H$10,0))*30.4375,"Red",IF(F157&lt;=INDEX('Client Overview'!$J$5:$J$10,MATCH(B157,'Client Overview'!$H$5:$H$10,0))*30.4375,"Yellow","Green")))</x:f>
        <x:v>Red</x:v>
      </x:c>
    </x:row>
    <x:row r="158" ht="22" customHeight="1">
      <x:c r="A158" s="159" t="str">
        <x:f>INDEX('Client Overview'!$A$6:$A$40,INT((ROW()-16)/6)+1)</x:f>
        <x:v>Organization 24</x:v>
      </x:c>
      <x:c r="B158" s="160" t="str">
        <x:f>INDEX('Client Overview'!$B$5:$G$5,1,MOD(ROW()-16,6)+1)</x:f>
        <x:v>RSAW Evidence Tracker</x:v>
      </x:c>
      <x:c r="C158" s="170" t="n">
        <x:f>IFERROR(INDEX('Client Overview'!$B$6:$G$40,MATCH(A158,'Client Overview'!$A$6:$A$40,0),MATCH(B158,'Client Overview'!$B$5:$G$5,0)),"")</x:f>
        <x:v>46174</x:v>
      </x:c>
      <x:c r="D158" s="173" t="n">
        <x:f>IFERROR(INDEX('Client Overview'!$I$5:$I$10,MATCH(B158,'Client Overview'!$H$5:$H$10,0)),"")</x:f>
        <x:v>12</x:v>
      </x:c>
      <x:c r="E158" s="170" t="n">
        <x:f>IF(OR(C158="",D158=""),"",EDATE(C158,D158))</x:f>
        <x:v>46539</x:v>
      </x:c>
      <x:c r="F158" s="173" t="n">
        <x:f>IF(E158="","",E158-TODAY())</x:f>
        <x:v>286</x:v>
      </x:c>
      <x:c r="G158" s="166" t="str">
        <x:f>IF(E158="","No Date",IF(F158&lt;=INDEX('Client Overview'!$K$5:$K$10,MATCH(B158,'Client Overview'!$H$5:$H$10,0))*30.4375,"Red",IF(F158&lt;=INDEX('Client Overview'!$J$5:$J$10,MATCH(B158,'Client Overview'!$H$5:$H$10,0))*30.4375,"Yellow","Green")))</x:f>
        <x:v>Green</x:v>
      </x:c>
    </x:row>
    <x:row r="159" ht="22" customHeight="1">
      <x:c r="A159" s="159" t="str">
        <x:f>INDEX('Client Overview'!$A$6:$A$40,INT((ROW()-16)/6)+1)</x:f>
        <x:v>Organization 24</x:v>
      </x:c>
      <x:c r="B159" s="160" t="str">
        <x:f>INDEX('Client Overview'!$B$5:$G$5,1,MOD(ROW()-16,6)+1)</x:f>
        <x:v>CIP Monthly Questions</x:v>
      </x:c>
      <x:c r="C159" s="170" t="str">
        <x:f>IFERROR(INDEX('Client Overview'!$B$6:$G$40,MATCH(A159,'Client Overview'!$A$6:$A$40,0),MATCH(B159,'Client Overview'!$B$5:$G$5,0)),"")</x:f>
      </x:c>
      <x:c r="D159" s="173" t="n">
        <x:f>IFERROR(INDEX('Client Overview'!$I$5:$I$10,MATCH(B159,'Client Overview'!$H$5:$H$10,0)),"")</x:f>
        <x:v>1</x:v>
      </x:c>
      <x:c r="E159" s="170" t="str">
        <x:f>IF(OR(C159="",D159=""),"",EDATE(C159,D159))</x:f>
      </x:c>
      <x:c r="F159" s="173" t="str">
        <x:f>IF(E159="","",E159-TODAY())</x:f>
      </x:c>
      <x:c r="G159" s="166" t="str">
        <x:f>IF(E159="","No Date",IF(F159&lt;=INDEX('Client Overview'!$K$5:$K$10,MATCH(B159,'Client Overview'!$H$5:$H$10,0))*30.4375,"Red",IF(F159&lt;=INDEX('Client Overview'!$J$5:$J$10,MATCH(B159,'Client Overview'!$H$5:$H$10,0))*30.4375,"Yellow","Green")))</x:f>
        <x:v>No Date</x:v>
      </x:c>
    </x:row>
    <x:row r="160" ht="22" customHeight="1">
      <x:c r="A160" s="159" t="str">
        <x:f>INDEX('Client Overview'!$A$6:$A$40,INT((ROW()-16)/6)+1)</x:f>
        <x:v>Organization 25</x:v>
      </x:c>
      <x:c r="B160" s="160" t="str">
        <x:f>INDEX('Client Overview'!$B$5:$G$5,1,MOD(ROW()-16,6)+1)</x:f>
        <x:v>Policy #1</x:v>
      </x:c>
      <x:c r="C160" s="170" t="n">
        <x:f>IFERROR(INDEX('Client Overview'!$B$6:$G$40,MATCH(A160,'Client Overview'!$A$6:$A$40,0),MATCH(B160,'Client Overview'!$B$5:$G$5,0)),"")</x:f>
        <x:v>46037</x:v>
      </x:c>
      <x:c r="D160" s="173" t="n">
        <x:f>IFERROR(INDEX('Client Overview'!$I$5:$I$10,MATCH(B160,'Client Overview'!$H$5:$H$10,0)),"")</x:f>
        <x:v>15</x:v>
      </x:c>
      <x:c r="E160" s="170" t="n">
        <x:f>IF(OR(C160="",D160=""),"",EDATE(C160,D160))</x:f>
        <x:v>46492</x:v>
      </x:c>
      <x:c r="F160" s="173" t="n">
        <x:f>IF(E160="","",E160-TODAY())</x:f>
        <x:v>239</x:v>
      </x:c>
      <x:c r="G160" s="166" t="str">
        <x:f>IF(E160="","No Date",IF(F160&lt;=INDEX('Client Overview'!$K$5:$K$10,MATCH(B160,'Client Overview'!$H$5:$H$10,0))*30.4375,"Red",IF(F160&lt;=INDEX('Client Overview'!$J$5:$J$10,MATCH(B160,'Client Overview'!$H$5:$H$10,0))*30.4375,"Yellow","Green")))</x:f>
        <x:v>Green</x:v>
      </x:c>
    </x:row>
    <x:row r="161" ht="22" customHeight="1">
      <x:c r="A161" s="159" t="str">
        <x:f>INDEX('Client Overview'!$A$6:$A$40,INT((ROW()-16)/6)+1)</x:f>
        <x:v>Organization 25</x:v>
      </x:c>
      <x:c r="B161" s="160" t="str">
        <x:f>INDEX('Client Overview'!$B$5:$G$5,1,MOD(ROW()-16,6)+1)</x:f>
        <x:v>Policy #2–7</x:v>
      </x:c>
      <x:c r="C161" s="170" t="n">
        <x:f>IFERROR(INDEX('Client Overview'!$B$6:$G$40,MATCH(A161,'Client Overview'!$A$6:$A$40,0),MATCH(B161,'Client Overview'!$B$5:$G$5,0)),"")</x:f>
        <x:v>46037</x:v>
      </x:c>
      <x:c r="D161" s="173" t="n">
        <x:f>IFERROR(INDEX('Client Overview'!$I$5:$I$10,MATCH(B161,'Client Overview'!$H$5:$H$10,0)),"")</x:f>
        <x:v>15</x:v>
      </x:c>
      <x:c r="E161" s="170" t="n">
        <x:f>IF(OR(C161="",D161=""),"",EDATE(C161,D161))</x:f>
        <x:v>46492</x:v>
      </x:c>
      <x:c r="F161" s="173" t="n">
        <x:f>IF(E161="","",E161-TODAY())</x:f>
        <x:v>239</x:v>
      </x:c>
      <x:c r="G161" s="166" t="str">
        <x:f>IF(E161="","No Date",IF(F161&lt;=INDEX('Client Overview'!$K$5:$K$10,MATCH(B161,'Client Overview'!$H$5:$H$10,0))*30.4375,"Red",IF(F161&lt;=INDEX('Client Overview'!$J$5:$J$10,MATCH(B161,'Client Overview'!$H$5:$H$10,0))*30.4375,"Yellow","Green")))</x:f>
        <x:v>Green</x:v>
      </x:c>
    </x:row>
    <x:row r="162" ht="22" customHeight="1">
      <x:c r="A162" s="159" t="str">
        <x:f>INDEX('Client Overview'!$A$6:$A$40,INT((ROW()-16)/6)+1)</x:f>
        <x:v>Organization 25</x:v>
      </x:c>
      <x:c r="B162" s="160" t="str">
        <x:f>INDEX('Client Overview'!$B$5:$G$5,1,MOD(ROW()-16,6)+1)</x:f>
        <x:v>Annual Review</x:v>
      </x:c>
      <x:c r="C162" s="170" t="n">
        <x:f>IFERROR(INDEX('Client Overview'!$B$6:$G$40,MATCH(A162,'Client Overview'!$A$6:$A$40,0),MATCH(B162,'Client Overview'!$B$5:$G$5,0)),"")</x:f>
        <x:v>46037</x:v>
      </x:c>
      <x:c r="D162" s="173" t="n">
        <x:f>IFERROR(INDEX('Client Overview'!$I$5:$I$10,MATCH(B162,'Client Overview'!$H$5:$H$10,0)),"")</x:f>
        <x:v>15</x:v>
      </x:c>
      <x:c r="E162" s="170" t="n">
        <x:f>IF(OR(C162="",D162=""),"",EDATE(C162,D162))</x:f>
        <x:v>46492</x:v>
      </x:c>
      <x:c r="F162" s="173" t="n">
        <x:f>IF(E162="","",E162-TODAY())</x:f>
        <x:v>239</x:v>
      </x:c>
      <x:c r="G162" s="166" t="str">
        <x:f>IF(E162="","No Date",IF(F162&lt;=INDEX('Client Overview'!$K$5:$K$10,MATCH(B162,'Client Overview'!$H$5:$H$10,0))*30.4375,"Red",IF(F162&lt;=INDEX('Client Overview'!$J$5:$J$10,MATCH(B162,'Client Overview'!$H$5:$H$10,0))*30.4375,"Yellow","Green")))</x:f>
        <x:v>Green</x:v>
      </x:c>
    </x:row>
    <x:row r="163" ht="22" customHeight="1">
      <x:c r="A163" s="159" t="str">
        <x:f>INDEX('Client Overview'!$A$6:$A$40,INT((ROW()-16)/6)+1)</x:f>
        <x:v>Organization 25</x:v>
      </x:c>
      <x:c r="B163" s="160" t="str">
        <x:f>INDEX('Client Overview'!$B$5:$G$5,1,MOD(ROW()-16,6)+1)</x:f>
        <x:v>CSIRP Tabletop Completion</x:v>
      </x:c>
      <x:c r="C163" s="170" t="n">
        <x:f>IFERROR(INDEX('Client Overview'!$B$6:$G$40,MATCH(A163,'Client Overview'!$A$6:$A$40,0),MATCH(B163,'Client Overview'!$B$5:$G$5,0)),"")</x:f>
        <x:v>45214</x:v>
      </x:c>
      <x:c r="D163" s="173" t="n">
        <x:f>IFERROR(INDEX('Client Overview'!$I$5:$I$10,MATCH(B163,'Client Overview'!$H$5:$H$10,0)),"")</x:f>
        <x:v>36</x:v>
      </x:c>
      <x:c r="E163" s="170" t="n">
        <x:f>IF(OR(C163="",D163=""),"",EDATE(C163,D163))</x:f>
        <x:v>46310</x:v>
      </x:c>
      <x:c r="F163" s="173" t="n">
        <x:f>IF(E163="","",E163-TODAY())</x:f>
        <x:v>57</x:v>
      </x:c>
      <x:c r="G163" s="166" t="str">
        <x:f>IF(E163="","No Date",IF(F163&lt;=INDEX('Client Overview'!$K$5:$K$10,MATCH(B163,'Client Overview'!$H$5:$H$10,0))*30.4375,"Red",IF(F163&lt;=INDEX('Client Overview'!$J$5:$J$10,MATCH(B163,'Client Overview'!$H$5:$H$10,0))*30.4375,"Yellow","Green")))</x:f>
        <x:v>Red</x:v>
      </x:c>
    </x:row>
    <x:row r="164" ht="22" customHeight="1">
      <x:c r="A164" s="159" t="str">
        <x:f>INDEX('Client Overview'!$A$6:$A$40,INT((ROW()-16)/6)+1)</x:f>
        <x:v>Organization 25</x:v>
      </x:c>
      <x:c r="B164" s="160" t="str">
        <x:f>INDEX('Client Overview'!$B$5:$G$5,1,MOD(ROW()-16,6)+1)</x:f>
        <x:v>RSAW Evidence Tracker</x:v>
      </x:c>
      <x:c r="C164" s="170" t="n">
        <x:f>IFERROR(INDEX('Client Overview'!$B$6:$G$40,MATCH(A164,'Client Overview'!$A$6:$A$40,0),MATCH(B164,'Client Overview'!$B$5:$G$5,0)),"")</x:f>
        <x:v>46174</x:v>
      </x:c>
      <x:c r="D164" s="173" t="n">
        <x:f>IFERROR(INDEX('Client Overview'!$I$5:$I$10,MATCH(B164,'Client Overview'!$H$5:$H$10,0)),"")</x:f>
        <x:v>12</x:v>
      </x:c>
      <x:c r="E164" s="170" t="n">
        <x:f>IF(OR(C164="",D164=""),"",EDATE(C164,D164))</x:f>
        <x:v>46539</x:v>
      </x:c>
      <x:c r="F164" s="173" t="n">
        <x:f>IF(E164="","",E164-TODAY())</x:f>
        <x:v>286</x:v>
      </x:c>
      <x:c r="G164" s="166" t="str">
        <x:f>IF(E164="","No Date",IF(F164&lt;=INDEX('Client Overview'!$K$5:$K$10,MATCH(B164,'Client Overview'!$H$5:$H$10,0))*30.4375,"Red",IF(F164&lt;=INDEX('Client Overview'!$J$5:$J$10,MATCH(B164,'Client Overview'!$H$5:$H$10,0))*30.4375,"Yellow","Green")))</x:f>
        <x:v>Green</x:v>
      </x:c>
    </x:row>
    <x:row r="165" ht="22" customHeight="1">
      <x:c r="A165" s="159" t="str">
        <x:f>INDEX('Client Overview'!$A$6:$A$40,INT((ROW()-16)/6)+1)</x:f>
        <x:v>Organization 25</x:v>
      </x:c>
      <x:c r="B165" s="160" t="str">
        <x:f>INDEX('Client Overview'!$B$5:$G$5,1,MOD(ROW()-16,6)+1)</x:f>
        <x:v>CIP Monthly Questions</x:v>
      </x:c>
      <x:c r="C165" s="170" t="str">
        <x:f>IFERROR(INDEX('Client Overview'!$B$6:$G$40,MATCH(A165,'Client Overview'!$A$6:$A$40,0),MATCH(B165,'Client Overview'!$B$5:$G$5,0)),"")</x:f>
      </x:c>
      <x:c r="D165" s="173" t="n">
        <x:f>IFERROR(INDEX('Client Overview'!$I$5:$I$10,MATCH(B165,'Client Overview'!$H$5:$H$10,0)),"")</x:f>
        <x:v>1</x:v>
      </x:c>
      <x:c r="E165" s="170" t="str">
        <x:f>IF(OR(C165="",D165=""),"",EDATE(C165,D165))</x:f>
      </x:c>
      <x:c r="F165" s="173" t="str">
        <x:f>IF(E165="","",E165-TODAY())</x:f>
      </x:c>
      <x:c r="G165" s="166" t="str">
        <x:f>IF(E165="","No Date",IF(F165&lt;=INDEX('Client Overview'!$K$5:$K$10,MATCH(B165,'Client Overview'!$H$5:$H$10,0))*30.4375,"Red",IF(F165&lt;=INDEX('Client Overview'!$J$5:$J$10,MATCH(B165,'Client Overview'!$H$5:$H$10,0))*30.4375,"Yellow","Green")))</x:f>
        <x:v>No Date</x:v>
      </x:c>
    </x:row>
    <x:row r="166" ht="22" customHeight="1">
      <x:c r="A166" s="159" t="str">
        <x:f>INDEX('Client Overview'!$A$6:$A$40,INT((ROW()-16)/6)+1)</x:f>
        <x:v>Organization 26</x:v>
      </x:c>
      <x:c r="B166" s="160" t="str">
        <x:f>INDEX('Client Overview'!$B$5:$G$5,1,MOD(ROW()-16,6)+1)</x:f>
        <x:v>Policy #1</x:v>
      </x:c>
      <x:c r="C166" s="170" t="n">
        <x:f>IFERROR(INDEX('Client Overview'!$B$6:$G$40,MATCH(A166,'Client Overview'!$A$6:$A$40,0),MATCH(B166,'Client Overview'!$B$5:$G$5,0)),"")</x:f>
        <x:v>46037</x:v>
      </x:c>
      <x:c r="D166" s="173" t="n">
        <x:f>IFERROR(INDEX('Client Overview'!$I$5:$I$10,MATCH(B166,'Client Overview'!$H$5:$H$10,0)),"")</x:f>
        <x:v>15</x:v>
      </x:c>
      <x:c r="E166" s="170" t="n">
        <x:f>IF(OR(C166="",D166=""),"",EDATE(C166,D166))</x:f>
        <x:v>46492</x:v>
      </x:c>
      <x:c r="F166" s="173" t="n">
        <x:f>IF(E166="","",E166-TODAY())</x:f>
        <x:v>239</x:v>
      </x:c>
      <x:c r="G166" s="166" t="str">
        <x:f>IF(E166="","No Date",IF(F166&lt;=INDEX('Client Overview'!$K$5:$K$10,MATCH(B166,'Client Overview'!$H$5:$H$10,0))*30.4375,"Red",IF(F166&lt;=INDEX('Client Overview'!$J$5:$J$10,MATCH(B166,'Client Overview'!$H$5:$H$10,0))*30.4375,"Yellow","Green")))</x:f>
        <x:v>Green</x:v>
      </x:c>
    </x:row>
    <x:row r="167" ht="22" customHeight="1">
      <x:c r="A167" s="159" t="str">
        <x:f>INDEX('Client Overview'!$A$6:$A$40,INT((ROW()-16)/6)+1)</x:f>
        <x:v>Organization 26</x:v>
      </x:c>
      <x:c r="B167" s="160" t="str">
        <x:f>INDEX('Client Overview'!$B$5:$G$5,1,MOD(ROW()-16,6)+1)</x:f>
        <x:v>Policy #2–7</x:v>
      </x:c>
      <x:c r="C167" s="170" t="n">
        <x:f>IFERROR(INDEX('Client Overview'!$B$6:$G$40,MATCH(A167,'Client Overview'!$A$6:$A$40,0),MATCH(B167,'Client Overview'!$B$5:$G$5,0)),"")</x:f>
        <x:v>46037</x:v>
      </x:c>
      <x:c r="D167" s="173" t="n">
        <x:f>IFERROR(INDEX('Client Overview'!$I$5:$I$10,MATCH(B167,'Client Overview'!$H$5:$H$10,0)),"")</x:f>
        <x:v>15</x:v>
      </x:c>
      <x:c r="E167" s="170" t="n">
        <x:f>IF(OR(C167="",D167=""),"",EDATE(C167,D167))</x:f>
        <x:v>46492</x:v>
      </x:c>
      <x:c r="F167" s="173" t="n">
        <x:f>IF(E167="","",E167-TODAY())</x:f>
        <x:v>239</x:v>
      </x:c>
      <x:c r="G167" s="166" t="str">
        <x:f>IF(E167="","No Date",IF(F167&lt;=INDEX('Client Overview'!$K$5:$K$10,MATCH(B167,'Client Overview'!$H$5:$H$10,0))*30.4375,"Red",IF(F167&lt;=INDEX('Client Overview'!$J$5:$J$10,MATCH(B167,'Client Overview'!$H$5:$H$10,0))*30.4375,"Yellow","Green")))</x:f>
        <x:v>Green</x:v>
      </x:c>
    </x:row>
    <x:row r="168" ht="22" customHeight="1">
      <x:c r="A168" s="159" t="str">
        <x:f>INDEX('Client Overview'!$A$6:$A$40,INT((ROW()-16)/6)+1)</x:f>
        <x:v>Organization 26</x:v>
      </x:c>
      <x:c r="B168" s="160" t="str">
        <x:f>INDEX('Client Overview'!$B$5:$G$5,1,MOD(ROW()-16,6)+1)</x:f>
        <x:v>Annual Review</x:v>
      </x:c>
      <x:c r="C168" s="170" t="n">
        <x:f>IFERROR(INDEX('Client Overview'!$B$6:$G$40,MATCH(A168,'Client Overview'!$A$6:$A$40,0),MATCH(B168,'Client Overview'!$B$5:$G$5,0)),"")</x:f>
        <x:v>46037</x:v>
      </x:c>
      <x:c r="D168" s="173" t="n">
        <x:f>IFERROR(INDEX('Client Overview'!$I$5:$I$10,MATCH(B168,'Client Overview'!$H$5:$H$10,0)),"")</x:f>
        <x:v>15</x:v>
      </x:c>
      <x:c r="E168" s="170" t="n">
        <x:f>IF(OR(C168="",D168=""),"",EDATE(C168,D168))</x:f>
        <x:v>46492</x:v>
      </x:c>
      <x:c r="F168" s="173" t="n">
        <x:f>IF(E168="","",E168-TODAY())</x:f>
        <x:v>239</x:v>
      </x:c>
      <x:c r="G168" s="166" t="str">
        <x:f>IF(E168="","No Date",IF(F168&lt;=INDEX('Client Overview'!$K$5:$K$10,MATCH(B168,'Client Overview'!$H$5:$H$10,0))*30.4375,"Red",IF(F168&lt;=INDEX('Client Overview'!$J$5:$J$10,MATCH(B168,'Client Overview'!$H$5:$H$10,0))*30.4375,"Yellow","Green")))</x:f>
        <x:v>Green</x:v>
      </x:c>
    </x:row>
    <x:row r="169" ht="22" customHeight="1">
      <x:c r="A169" s="159" t="str">
        <x:f>INDEX('Client Overview'!$A$6:$A$40,INT((ROW()-16)/6)+1)</x:f>
        <x:v>Organization 26</x:v>
      </x:c>
      <x:c r="B169" s="160" t="str">
        <x:f>INDEX('Client Overview'!$B$5:$G$5,1,MOD(ROW()-16,6)+1)</x:f>
        <x:v>CSIRP Tabletop Completion</x:v>
      </x:c>
      <x:c r="C169" s="170" t="n">
        <x:f>IFERROR(INDEX('Client Overview'!$B$6:$G$40,MATCH(A169,'Client Overview'!$A$6:$A$40,0),MATCH(B169,'Client Overview'!$B$5:$G$5,0)),"")</x:f>
        <x:v>45214</x:v>
      </x:c>
      <x:c r="D169" s="173" t="n">
        <x:f>IFERROR(INDEX('Client Overview'!$I$5:$I$10,MATCH(B169,'Client Overview'!$H$5:$H$10,0)),"")</x:f>
        <x:v>36</x:v>
      </x:c>
      <x:c r="E169" s="170" t="n">
        <x:f>IF(OR(C169="",D169=""),"",EDATE(C169,D169))</x:f>
        <x:v>46310</x:v>
      </x:c>
      <x:c r="F169" s="173" t="n">
        <x:f>IF(E169="","",E169-TODAY())</x:f>
        <x:v>57</x:v>
      </x:c>
      <x:c r="G169" s="166" t="str">
        <x:f>IF(E169="","No Date",IF(F169&lt;=INDEX('Client Overview'!$K$5:$K$10,MATCH(B169,'Client Overview'!$H$5:$H$10,0))*30.4375,"Red",IF(F169&lt;=INDEX('Client Overview'!$J$5:$J$10,MATCH(B169,'Client Overview'!$H$5:$H$10,0))*30.4375,"Yellow","Green")))</x:f>
        <x:v>Red</x:v>
      </x:c>
    </x:row>
    <x:row r="170" ht="22" customHeight="1">
      <x:c r="A170" s="159" t="str">
        <x:f>INDEX('Client Overview'!$A$6:$A$40,INT((ROW()-16)/6)+1)</x:f>
        <x:v>Organization 26</x:v>
      </x:c>
      <x:c r="B170" s="160" t="str">
        <x:f>INDEX('Client Overview'!$B$5:$G$5,1,MOD(ROW()-16,6)+1)</x:f>
        <x:v>RSAW Evidence Tracker</x:v>
      </x:c>
      <x:c r="C170" s="170" t="n">
        <x:f>IFERROR(INDEX('Client Overview'!$B$6:$G$40,MATCH(A170,'Client Overview'!$A$6:$A$40,0),MATCH(B170,'Client Overview'!$B$5:$G$5,0)),"")</x:f>
        <x:v>46174</x:v>
      </x:c>
      <x:c r="D170" s="173" t="n">
        <x:f>IFERROR(INDEX('Client Overview'!$I$5:$I$10,MATCH(B170,'Client Overview'!$H$5:$H$10,0)),"")</x:f>
        <x:v>12</x:v>
      </x:c>
      <x:c r="E170" s="170" t="n">
        <x:f>IF(OR(C170="",D170=""),"",EDATE(C170,D170))</x:f>
        <x:v>46539</x:v>
      </x:c>
      <x:c r="F170" s="173" t="n">
        <x:f>IF(E170="","",E170-TODAY())</x:f>
        <x:v>286</x:v>
      </x:c>
      <x:c r="G170" s="166" t="str">
        <x:f>IF(E170="","No Date",IF(F170&lt;=INDEX('Client Overview'!$K$5:$K$10,MATCH(B170,'Client Overview'!$H$5:$H$10,0))*30.4375,"Red",IF(F170&lt;=INDEX('Client Overview'!$J$5:$J$10,MATCH(B170,'Client Overview'!$H$5:$H$10,0))*30.4375,"Yellow","Green")))</x:f>
        <x:v>Green</x:v>
      </x:c>
    </x:row>
    <x:row r="171" ht="22" customHeight="1">
      <x:c r="A171" s="159" t="str">
        <x:f>INDEX('Client Overview'!$A$6:$A$40,INT((ROW()-16)/6)+1)</x:f>
        <x:v>Organization 26</x:v>
      </x:c>
      <x:c r="B171" s="160" t="str">
        <x:f>INDEX('Client Overview'!$B$5:$G$5,1,MOD(ROW()-16,6)+1)</x:f>
        <x:v>CIP Monthly Questions</x:v>
      </x:c>
      <x:c r="C171" s="170" t="str">
        <x:f>IFERROR(INDEX('Client Overview'!$B$6:$G$40,MATCH(A171,'Client Overview'!$A$6:$A$40,0),MATCH(B171,'Client Overview'!$B$5:$G$5,0)),"")</x:f>
      </x:c>
      <x:c r="D171" s="173" t="n">
        <x:f>IFERROR(INDEX('Client Overview'!$I$5:$I$10,MATCH(B171,'Client Overview'!$H$5:$H$10,0)),"")</x:f>
        <x:v>1</x:v>
      </x:c>
      <x:c r="E171" s="170" t="str">
        <x:f>IF(OR(C171="",D171=""),"",EDATE(C171,D171))</x:f>
      </x:c>
      <x:c r="F171" s="173" t="str">
        <x:f>IF(E171="","",E171-TODAY())</x:f>
      </x:c>
      <x:c r="G171" s="166" t="str">
        <x:f>IF(E171="","No Date",IF(F171&lt;=INDEX('Client Overview'!$K$5:$K$10,MATCH(B171,'Client Overview'!$H$5:$H$10,0))*30.4375,"Red",IF(F171&lt;=INDEX('Client Overview'!$J$5:$J$10,MATCH(B171,'Client Overview'!$H$5:$H$10,0))*30.4375,"Yellow","Green")))</x:f>
        <x:v>No Date</x:v>
      </x:c>
    </x:row>
    <x:row r="172" ht="22" customHeight="1">
      <x:c r="A172" s="159" t="str">
        <x:f>INDEX('Client Overview'!$A$6:$A$40,INT((ROW()-16)/6)+1)</x:f>
        <x:v>Organization 27</x:v>
      </x:c>
      <x:c r="B172" s="160" t="str">
        <x:f>INDEX('Client Overview'!$B$5:$G$5,1,MOD(ROW()-16,6)+1)</x:f>
        <x:v>Policy #1</x:v>
      </x:c>
      <x:c r="C172" s="170" t="n">
        <x:f>IFERROR(INDEX('Client Overview'!$B$6:$G$40,MATCH(A172,'Client Overview'!$A$6:$A$40,0),MATCH(B172,'Client Overview'!$B$5:$G$5,0)),"")</x:f>
        <x:v>46037</x:v>
      </x:c>
      <x:c r="D172" s="173" t="n">
        <x:f>IFERROR(INDEX('Client Overview'!$I$5:$I$10,MATCH(B172,'Client Overview'!$H$5:$H$10,0)),"")</x:f>
        <x:v>15</x:v>
      </x:c>
      <x:c r="E172" s="170" t="n">
        <x:f>IF(OR(C172="",D172=""),"",EDATE(C172,D172))</x:f>
        <x:v>46492</x:v>
      </x:c>
      <x:c r="F172" s="173" t="n">
        <x:f>IF(E172="","",E172-TODAY())</x:f>
        <x:v>239</x:v>
      </x:c>
      <x:c r="G172" s="166" t="str">
        <x:f>IF(E172="","No Date",IF(F172&lt;=INDEX('Client Overview'!$K$5:$K$10,MATCH(B172,'Client Overview'!$H$5:$H$10,0))*30.4375,"Red",IF(F172&lt;=INDEX('Client Overview'!$J$5:$J$10,MATCH(B172,'Client Overview'!$H$5:$H$10,0))*30.4375,"Yellow","Green")))</x:f>
        <x:v>Green</x:v>
      </x:c>
    </x:row>
    <x:row r="173" ht="22" customHeight="1">
      <x:c r="A173" s="159" t="str">
        <x:f>INDEX('Client Overview'!$A$6:$A$40,INT((ROW()-16)/6)+1)</x:f>
        <x:v>Organization 27</x:v>
      </x:c>
      <x:c r="B173" s="160" t="str">
        <x:f>INDEX('Client Overview'!$B$5:$G$5,1,MOD(ROW()-16,6)+1)</x:f>
        <x:v>Policy #2–7</x:v>
      </x:c>
      <x:c r="C173" s="170" t="n">
        <x:f>IFERROR(INDEX('Client Overview'!$B$6:$G$40,MATCH(A173,'Client Overview'!$A$6:$A$40,0),MATCH(B173,'Client Overview'!$B$5:$G$5,0)),"")</x:f>
        <x:v>46037</x:v>
      </x:c>
      <x:c r="D173" s="173" t="n">
        <x:f>IFERROR(INDEX('Client Overview'!$I$5:$I$10,MATCH(B173,'Client Overview'!$H$5:$H$10,0)),"")</x:f>
        <x:v>15</x:v>
      </x:c>
      <x:c r="E173" s="170" t="n">
        <x:f>IF(OR(C173="",D173=""),"",EDATE(C173,D173))</x:f>
        <x:v>46492</x:v>
      </x:c>
      <x:c r="F173" s="173" t="n">
        <x:f>IF(E173="","",E173-TODAY())</x:f>
        <x:v>239</x:v>
      </x:c>
      <x:c r="G173" s="166" t="str">
        <x:f>IF(E173="","No Date",IF(F173&lt;=INDEX('Client Overview'!$K$5:$K$10,MATCH(B173,'Client Overview'!$H$5:$H$10,0))*30.4375,"Red",IF(F173&lt;=INDEX('Client Overview'!$J$5:$J$10,MATCH(B173,'Client Overview'!$H$5:$H$10,0))*30.4375,"Yellow","Green")))</x:f>
        <x:v>Green</x:v>
      </x:c>
    </x:row>
    <x:row r="174" ht="22" customHeight="1">
      <x:c r="A174" s="159" t="str">
        <x:f>INDEX('Client Overview'!$A$6:$A$40,INT((ROW()-16)/6)+1)</x:f>
        <x:v>Organization 27</x:v>
      </x:c>
      <x:c r="B174" s="160" t="str">
        <x:f>INDEX('Client Overview'!$B$5:$G$5,1,MOD(ROW()-16,6)+1)</x:f>
        <x:v>Annual Review</x:v>
      </x:c>
      <x:c r="C174" s="170" t="n">
        <x:f>IFERROR(INDEX('Client Overview'!$B$6:$G$40,MATCH(A174,'Client Overview'!$A$6:$A$40,0),MATCH(B174,'Client Overview'!$B$5:$G$5,0)),"")</x:f>
        <x:v>46037</x:v>
      </x:c>
      <x:c r="D174" s="173" t="n">
        <x:f>IFERROR(INDEX('Client Overview'!$I$5:$I$10,MATCH(B174,'Client Overview'!$H$5:$H$10,0)),"")</x:f>
        <x:v>15</x:v>
      </x:c>
      <x:c r="E174" s="170" t="n">
        <x:f>IF(OR(C174="",D174=""),"",EDATE(C174,D174))</x:f>
        <x:v>46492</x:v>
      </x:c>
      <x:c r="F174" s="173" t="n">
        <x:f>IF(E174="","",E174-TODAY())</x:f>
        <x:v>239</x:v>
      </x:c>
      <x:c r="G174" s="166" t="str">
        <x:f>IF(E174="","No Date",IF(F174&lt;=INDEX('Client Overview'!$K$5:$K$10,MATCH(B174,'Client Overview'!$H$5:$H$10,0))*30.4375,"Red",IF(F174&lt;=INDEX('Client Overview'!$J$5:$J$10,MATCH(B174,'Client Overview'!$H$5:$H$10,0))*30.4375,"Yellow","Green")))</x:f>
        <x:v>Green</x:v>
      </x:c>
    </x:row>
    <x:row r="175" ht="22" customHeight="1">
      <x:c r="A175" s="159" t="str">
        <x:f>INDEX('Client Overview'!$A$6:$A$40,INT((ROW()-16)/6)+1)</x:f>
        <x:v>Organization 27</x:v>
      </x:c>
      <x:c r="B175" s="160" t="str">
        <x:f>INDEX('Client Overview'!$B$5:$G$5,1,MOD(ROW()-16,6)+1)</x:f>
        <x:v>CSIRP Tabletop Completion</x:v>
      </x:c>
      <x:c r="C175" s="170" t="n">
        <x:f>IFERROR(INDEX('Client Overview'!$B$6:$G$40,MATCH(A175,'Client Overview'!$A$6:$A$40,0),MATCH(B175,'Client Overview'!$B$5:$G$5,0)),"")</x:f>
        <x:v>45214</x:v>
      </x:c>
      <x:c r="D175" s="173" t="n">
        <x:f>IFERROR(INDEX('Client Overview'!$I$5:$I$10,MATCH(B175,'Client Overview'!$H$5:$H$10,0)),"")</x:f>
        <x:v>36</x:v>
      </x:c>
      <x:c r="E175" s="170" t="n">
        <x:f>IF(OR(C175="",D175=""),"",EDATE(C175,D175))</x:f>
        <x:v>46310</x:v>
      </x:c>
      <x:c r="F175" s="173" t="n">
        <x:f>IF(E175="","",E175-TODAY())</x:f>
        <x:v>57</x:v>
      </x:c>
      <x:c r="G175" s="166" t="str">
        <x:f>IF(E175="","No Date",IF(F175&lt;=INDEX('Client Overview'!$K$5:$K$10,MATCH(B175,'Client Overview'!$H$5:$H$10,0))*30.4375,"Red",IF(F175&lt;=INDEX('Client Overview'!$J$5:$J$10,MATCH(B175,'Client Overview'!$H$5:$H$10,0))*30.4375,"Yellow","Green")))</x:f>
        <x:v>Red</x:v>
      </x:c>
    </x:row>
    <x:row r="176" ht="22" customHeight="1">
      <x:c r="A176" s="159" t="str">
        <x:f>INDEX('Client Overview'!$A$6:$A$40,INT((ROW()-16)/6)+1)</x:f>
        <x:v>Organization 27</x:v>
      </x:c>
      <x:c r="B176" s="160" t="str">
        <x:f>INDEX('Client Overview'!$B$5:$G$5,1,MOD(ROW()-16,6)+1)</x:f>
        <x:v>RSAW Evidence Tracker</x:v>
      </x:c>
      <x:c r="C176" s="170" t="n">
        <x:f>IFERROR(INDEX('Client Overview'!$B$6:$G$40,MATCH(A176,'Client Overview'!$A$6:$A$40,0),MATCH(B176,'Client Overview'!$B$5:$G$5,0)),"")</x:f>
        <x:v>46174</x:v>
      </x:c>
      <x:c r="D176" s="173" t="n">
        <x:f>IFERROR(INDEX('Client Overview'!$I$5:$I$10,MATCH(B176,'Client Overview'!$H$5:$H$10,0)),"")</x:f>
        <x:v>12</x:v>
      </x:c>
      <x:c r="E176" s="170" t="n">
        <x:f>IF(OR(C176="",D176=""),"",EDATE(C176,D176))</x:f>
        <x:v>46539</x:v>
      </x:c>
      <x:c r="F176" s="173" t="n">
        <x:f>IF(E176="","",E176-TODAY())</x:f>
        <x:v>286</x:v>
      </x:c>
      <x:c r="G176" s="166" t="str">
        <x:f>IF(E176="","No Date",IF(F176&lt;=INDEX('Client Overview'!$K$5:$K$10,MATCH(B176,'Client Overview'!$H$5:$H$10,0))*30.4375,"Red",IF(F176&lt;=INDEX('Client Overview'!$J$5:$J$10,MATCH(B176,'Client Overview'!$H$5:$H$10,0))*30.4375,"Yellow","Green")))</x:f>
        <x:v>Green</x:v>
      </x:c>
    </x:row>
    <x:row r="177" ht="22" customHeight="1">
      <x:c r="A177" s="159" t="str">
        <x:f>INDEX('Client Overview'!$A$6:$A$40,INT((ROW()-16)/6)+1)</x:f>
        <x:v>Organization 27</x:v>
      </x:c>
      <x:c r="B177" s="160" t="str">
        <x:f>INDEX('Client Overview'!$B$5:$G$5,1,MOD(ROW()-16,6)+1)</x:f>
        <x:v>CIP Monthly Questions</x:v>
      </x:c>
      <x:c r="C177" s="170" t="str">
        <x:f>IFERROR(INDEX('Client Overview'!$B$6:$G$40,MATCH(A177,'Client Overview'!$A$6:$A$40,0),MATCH(B177,'Client Overview'!$B$5:$G$5,0)),"")</x:f>
      </x:c>
      <x:c r="D177" s="173" t="n">
        <x:f>IFERROR(INDEX('Client Overview'!$I$5:$I$10,MATCH(B177,'Client Overview'!$H$5:$H$10,0)),"")</x:f>
        <x:v>1</x:v>
      </x:c>
      <x:c r="E177" s="170" t="str">
        <x:f>IF(OR(C177="",D177=""),"",EDATE(C177,D177))</x:f>
      </x:c>
      <x:c r="F177" s="173" t="str">
        <x:f>IF(E177="","",E177-TODAY())</x:f>
      </x:c>
      <x:c r="G177" s="166" t="str">
        <x:f>IF(E177="","No Date",IF(F177&lt;=INDEX('Client Overview'!$K$5:$K$10,MATCH(B177,'Client Overview'!$H$5:$H$10,0))*30.4375,"Red",IF(F177&lt;=INDEX('Client Overview'!$J$5:$J$10,MATCH(B177,'Client Overview'!$H$5:$H$10,0))*30.4375,"Yellow","Green")))</x:f>
        <x:v>No Date</x:v>
      </x:c>
    </x:row>
    <x:row r="178" ht="22" customHeight="1">
      <x:c r="A178" s="159" t="str">
        <x:f>INDEX('Client Overview'!$A$6:$A$40,INT((ROW()-16)/6)+1)</x:f>
        <x:v>Organization 28</x:v>
      </x:c>
      <x:c r="B178" s="160" t="str">
        <x:f>INDEX('Client Overview'!$B$5:$G$5,1,MOD(ROW()-16,6)+1)</x:f>
        <x:v>Policy #1</x:v>
      </x:c>
      <x:c r="C178" s="170" t="n">
        <x:f>IFERROR(INDEX('Client Overview'!$B$6:$G$40,MATCH(A178,'Client Overview'!$A$6:$A$40,0),MATCH(B178,'Client Overview'!$B$5:$G$5,0)),"")</x:f>
        <x:v>46037</x:v>
      </x:c>
      <x:c r="D178" s="173" t="n">
        <x:f>IFERROR(INDEX('Client Overview'!$I$5:$I$10,MATCH(B178,'Client Overview'!$H$5:$H$10,0)),"")</x:f>
        <x:v>15</x:v>
      </x:c>
      <x:c r="E178" s="170" t="n">
        <x:f>IF(OR(C178="",D178=""),"",EDATE(C178,D178))</x:f>
        <x:v>46492</x:v>
      </x:c>
      <x:c r="F178" s="173" t="n">
        <x:f>IF(E178="","",E178-TODAY())</x:f>
        <x:v>239</x:v>
      </x:c>
      <x:c r="G178" s="166" t="str">
        <x:f>IF(E178="","No Date",IF(F178&lt;=INDEX('Client Overview'!$K$5:$K$10,MATCH(B178,'Client Overview'!$H$5:$H$10,0))*30.4375,"Red",IF(F178&lt;=INDEX('Client Overview'!$J$5:$J$10,MATCH(B178,'Client Overview'!$H$5:$H$10,0))*30.4375,"Yellow","Green")))</x:f>
        <x:v>Green</x:v>
      </x:c>
    </x:row>
    <x:row r="179" ht="22" customHeight="1">
      <x:c r="A179" s="159" t="str">
        <x:f>INDEX('Client Overview'!$A$6:$A$40,INT((ROW()-16)/6)+1)</x:f>
        <x:v>Organization 28</x:v>
      </x:c>
      <x:c r="B179" s="160" t="str">
        <x:f>INDEX('Client Overview'!$B$5:$G$5,1,MOD(ROW()-16,6)+1)</x:f>
        <x:v>Policy #2–7</x:v>
      </x:c>
      <x:c r="C179" s="170" t="n">
        <x:f>IFERROR(INDEX('Client Overview'!$B$6:$G$40,MATCH(A179,'Client Overview'!$A$6:$A$40,0),MATCH(B179,'Client Overview'!$B$5:$G$5,0)),"")</x:f>
        <x:v>46037</x:v>
      </x:c>
      <x:c r="D179" s="173" t="n">
        <x:f>IFERROR(INDEX('Client Overview'!$I$5:$I$10,MATCH(B179,'Client Overview'!$H$5:$H$10,0)),"")</x:f>
        <x:v>15</x:v>
      </x:c>
      <x:c r="E179" s="170" t="n">
        <x:f>IF(OR(C179="",D179=""),"",EDATE(C179,D179))</x:f>
        <x:v>46492</x:v>
      </x:c>
      <x:c r="F179" s="173" t="n">
        <x:f>IF(E179="","",E179-TODAY())</x:f>
        <x:v>239</x:v>
      </x:c>
      <x:c r="G179" s="166" t="str">
        <x:f>IF(E179="","No Date",IF(F179&lt;=INDEX('Client Overview'!$K$5:$K$10,MATCH(B179,'Client Overview'!$H$5:$H$10,0))*30.4375,"Red",IF(F179&lt;=INDEX('Client Overview'!$J$5:$J$10,MATCH(B179,'Client Overview'!$H$5:$H$10,0))*30.4375,"Yellow","Green")))</x:f>
        <x:v>Green</x:v>
      </x:c>
    </x:row>
    <x:row r="180" ht="22" customHeight="1">
      <x:c r="A180" s="159" t="str">
        <x:f>INDEX('Client Overview'!$A$6:$A$40,INT((ROW()-16)/6)+1)</x:f>
        <x:v>Organization 28</x:v>
      </x:c>
      <x:c r="B180" s="160" t="str">
        <x:f>INDEX('Client Overview'!$B$5:$G$5,1,MOD(ROW()-16,6)+1)</x:f>
        <x:v>Annual Review</x:v>
      </x:c>
      <x:c r="C180" s="170" t="n">
        <x:f>IFERROR(INDEX('Client Overview'!$B$6:$G$40,MATCH(A180,'Client Overview'!$A$6:$A$40,0),MATCH(B180,'Client Overview'!$B$5:$G$5,0)),"")</x:f>
        <x:v>46037</x:v>
      </x:c>
      <x:c r="D180" s="173" t="n">
        <x:f>IFERROR(INDEX('Client Overview'!$I$5:$I$10,MATCH(B180,'Client Overview'!$H$5:$H$10,0)),"")</x:f>
        <x:v>15</x:v>
      </x:c>
      <x:c r="E180" s="170" t="n">
        <x:f>IF(OR(C180="",D180=""),"",EDATE(C180,D180))</x:f>
        <x:v>46492</x:v>
      </x:c>
      <x:c r="F180" s="173" t="n">
        <x:f>IF(E180="","",E180-TODAY())</x:f>
        <x:v>239</x:v>
      </x:c>
      <x:c r="G180" s="166" t="str">
        <x:f>IF(E180="","No Date",IF(F180&lt;=INDEX('Client Overview'!$K$5:$K$10,MATCH(B180,'Client Overview'!$H$5:$H$10,0))*30.4375,"Red",IF(F180&lt;=INDEX('Client Overview'!$J$5:$J$10,MATCH(B180,'Client Overview'!$H$5:$H$10,0))*30.4375,"Yellow","Green")))</x:f>
        <x:v>Green</x:v>
      </x:c>
    </x:row>
    <x:row r="181" ht="22" customHeight="1">
      <x:c r="A181" s="159" t="str">
        <x:f>INDEX('Client Overview'!$A$6:$A$40,INT((ROW()-16)/6)+1)</x:f>
        <x:v>Organization 28</x:v>
      </x:c>
      <x:c r="B181" s="160" t="str">
        <x:f>INDEX('Client Overview'!$B$5:$G$5,1,MOD(ROW()-16,6)+1)</x:f>
        <x:v>CSIRP Tabletop Completion</x:v>
      </x:c>
      <x:c r="C181" s="170" t="n">
        <x:f>IFERROR(INDEX('Client Overview'!$B$6:$G$40,MATCH(A181,'Client Overview'!$A$6:$A$40,0),MATCH(B181,'Client Overview'!$B$5:$G$5,0)),"")</x:f>
        <x:v>45214</x:v>
      </x:c>
      <x:c r="D181" s="173" t="n">
        <x:f>IFERROR(INDEX('Client Overview'!$I$5:$I$10,MATCH(B181,'Client Overview'!$H$5:$H$10,0)),"")</x:f>
        <x:v>36</x:v>
      </x:c>
      <x:c r="E181" s="170" t="n">
        <x:f>IF(OR(C181="",D181=""),"",EDATE(C181,D181))</x:f>
        <x:v>46310</x:v>
      </x:c>
      <x:c r="F181" s="173" t="n">
        <x:f>IF(E181="","",E181-TODAY())</x:f>
        <x:v>57</x:v>
      </x:c>
      <x:c r="G181" s="166" t="str">
        <x:f>IF(E181="","No Date",IF(F181&lt;=INDEX('Client Overview'!$K$5:$K$10,MATCH(B181,'Client Overview'!$H$5:$H$10,0))*30.4375,"Red",IF(F181&lt;=INDEX('Client Overview'!$J$5:$J$10,MATCH(B181,'Client Overview'!$H$5:$H$10,0))*30.4375,"Yellow","Green")))</x:f>
        <x:v>Red</x:v>
      </x:c>
    </x:row>
    <x:row r="182" ht="22" customHeight="1">
      <x:c r="A182" s="159" t="str">
        <x:f>INDEX('Client Overview'!$A$6:$A$40,INT((ROW()-16)/6)+1)</x:f>
        <x:v>Organization 28</x:v>
      </x:c>
      <x:c r="B182" s="160" t="str">
        <x:f>INDEX('Client Overview'!$B$5:$G$5,1,MOD(ROW()-16,6)+1)</x:f>
        <x:v>RSAW Evidence Tracker</x:v>
      </x:c>
      <x:c r="C182" s="170" t="n">
        <x:f>IFERROR(INDEX('Client Overview'!$B$6:$G$40,MATCH(A182,'Client Overview'!$A$6:$A$40,0),MATCH(B182,'Client Overview'!$B$5:$G$5,0)),"")</x:f>
        <x:v>46174</x:v>
      </x:c>
      <x:c r="D182" s="173" t="n">
        <x:f>IFERROR(INDEX('Client Overview'!$I$5:$I$10,MATCH(B182,'Client Overview'!$H$5:$H$10,0)),"")</x:f>
        <x:v>12</x:v>
      </x:c>
      <x:c r="E182" s="170" t="n">
        <x:f>IF(OR(C182="",D182=""),"",EDATE(C182,D182))</x:f>
        <x:v>46539</x:v>
      </x:c>
      <x:c r="F182" s="173" t="n">
        <x:f>IF(E182="","",E182-TODAY())</x:f>
        <x:v>286</x:v>
      </x:c>
      <x:c r="G182" s="166" t="str">
        <x:f>IF(E182="","No Date",IF(F182&lt;=INDEX('Client Overview'!$K$5:$K$10,MATCH(B182,'Client Overview'!$H$5:$H$10,0))*30.4375,"Red",IF(F182&lt;=INDEX('Client Overview'!$J$5:$J$10,MATCH(B182,'Client Overview'!$H$5:$H$10,0))*30.4375,"Yellow","Green")))</x:f>
        <x:v>Green</x:v>
      </x:c>
    </x:row>
    <x:row r="183" ht="22" customHeight="1">
      <x:c r="A183" s="159" t="str">
        <x:f>INDEX('Client Overview'!$A$6:$A$40,INT((ROW()-16)/6)+1)</x:f>
        <x:v>Organization 28</x:v>
      </x:c>
      <x:c r="B183" s="160" t="str">
        <x:f>INDEX('Client Overview'!$B$5:$G$5,1,MOD(ROW()-16,6)+1)</x:f>
        <x:v>CIP Monthly Questions</x:v>
      </x:c>
      <x:c r="C183" s="170" t="str">
        <x:f>IFERROR(INDEX('Client Overview'!$B$6:$G$40,MATCH(A183,'Client Overview'!$A$6:$A$40,0),MATCH(B183,'Client Overview'!$B$5:$G$5,0)),"")</x:f>
      </x:c>
      <x:c r="D183" s="173" t="n">
        <x:f>IFERROR(INDEX('Client Overview'!$I$5:$I$10,MATCH(B183,'Client Overview'!$H$5:$H$10,0)),"")</x:f>
        <x:v>1</x:v>
      </x:c>
      <x:c r="E183" s="170" t="str">
        <x:f>IF(OR(C183="",D183=""),"",EDATE(C183,D183))</x:f>
      </x:c>
      <x:c r="F183" s="173" t="str">
        <x:f>IF(E183="","",E183-TODAY())</x:f>
      </x:c>
      <x:c r="G183" s="166" t="str">
        <x:f>IF(E183="","No Date",IF(F183&lt;=INDEX('Client Overview'!$K$5:$K$10,MATCH(B183,'Client Overview'!$H$5:$H$10,0))*30.4375,"Red",IF(F183&lt;=INDEX('Client Overview'!$J$5:$J$10,MATCH(B183,'Client Overview'!$H$5:$H$10,0))*30.4375,"Yellow","Green")))</x:f>
        <x:v>No Date</x:v>
      </x:c>
    </x:row>
    <x:row r="184" ht="22" customHeight="1">
      <x:c r="A184" s="159" t="str">
        <x:f>INDEX('Client Overview'!$A$6:$A$40,INT((ROW()-16)/6)+1)</x:f>
        <x:v>Organization 29</x:v>
      </x:c>
      <x:c r="B184" s="160" t="str">
        <x:f>INDEX('Client Overview'!$B$5:$G$5,1,MOD(ROW()-16,6)+1)</x:f>
        <x:v>Policy #1</x:v>
      </x:c>
      <x:c r="C184" s="170" t="n">
        <x:f>IFERROR(INDEX('Client Overview'!$B$6:$G$40,MATCH(A184,'Client Overview'!$A$6:$A$40,0),MATCH(B184,'Client Overview'!$B$5:$G$5,0)),"")</x:f>
        <x:v>46037</x:v>
      </x:c>
      <x:c r="D184" s="173" t="n">
        <x:f>IFERROR(INDEX('Client Overview'!$I$5:$I$10,MATCH(B184,'Client Overview'!$H$5:$H$10,0)),"")</x:f>
        <x:v>15</x:v>
      </x:c>
      <x:c r="E184" s="170" t="n">
        <x:f>IF(OR(C184="",D184=""),"",EDATE(C184,D184))</x:f>
        <x:v>46492</x:v>
      </x:c>
      <x:c r="F184" s="173" t="n">
        <x:f>IF(E184="","",E184-TODAY())</x:f>
        <x:v>239</x:v>
      </x:c>
      <x:c r="G184" s="166" t="str">
        <x:f>IF(E184="","No Date",IF(F184&lt;=INDEX('Client Overview'!$K$5:$K$10,MATCH(B184,'Client Overview'!$H$5:$H$10,0))*30.4375,"Red",IF(F184&lt;=INDEX('Client Overview'!$J$5:$J$10,MATCH(B184,'Client Overview'!$H$5:$H$10,0))*30.4375,"Yellow","Green")))</x:f>
        <x:v>Green</x:v>
      </x:c>
    </x:row>
    <x:row r="185" ht="22" customHeight="1">
      <x:c r="A185" s="159" t="str">
        <x:f>INDEX('Client Overview'!$A$6:$A$40,INT((ROW()-16)/6)+1)</x:f>
        <x:v>Organization 29</x:v>
      </x:c>
      <x:c r="B185" s="160" t="str">
        <x:f>INDEX('Client Overview'!$B$5:$G$5,1,MOD(ROW()-16,6)+1)</x:f>
        <x:v>Policy #2–7</x:v>
      </x:c>
      <x:c r="C185" s="170" t="n">
        <x:f>IFERROR(INDEX('Client Overview'!$B$6:$G$40,MATCH(A185,'Client Overview'!$A$6:$A$40,0),MATCH(B185,'Client Overview'!$B$5:$G$5,0)),"")</x:f>
        <x:v>46037</x:v>
      </x:c>
      <x:c r="D185" s="173" t="n">
        <x:f>IFERROR(INDEX('Client Overview'!$I$5:$I$10,MATCH(B185,'Client Overview'!$H$5:$H$10,0)),"")</x:f>
        <x:v>15</x:v>
      </x:c>
      <x:c r="E185" s="170" t="n">
        <x:f>IF(OR(C185="",D185=""),"",EDATE(C185,D185))</x:f>
        <x:v>46492</x:v>
      </x:c>
      <x:c r="F185" s="173" t="n">
        <x:f>IF(E185="","",E185-TODAY())</x:f>
        <x:v>239</x:v>
      </x:c>
      <x:c r="G185" s="166" t="str">
        <x:f>IF(E185="","No Date",IF(F185&lt;=INDEX('Client Overview'!$K$5:$K$10,MATCH(B185,'Client Overview'!$H$5:$H$10,0))*30.4375,"Red",IF(F185&lt;=INDEX('Client Overview'!$J$5:$J$10,MATCH(B185,'Client Overview'!$H$5:$H$10,0))*30.4375,"Yellow","Green")))</x:f>
        <x:v>Green</x:v>
      </x:c>
    </x:row>
    <x:row r="186" ht="22" customHeight="1">
      <x:c r="A186" s="159" t="str">
        <x:f>INDEX('Client Overview'!$A$6:$A$40,INT((ROW()-16)/6)+1)</x:f>
        <x:v>Organization 29</x:v>
      </x:c>
      <x:c r="B186" s="160" t="str">
        <x:f>INDEX('Client Overview'!$B$5:$G$5,1,MOD(ROW()-16,6)+1)</x:f>
        <x:v>Annual Review</x:v>
      </x:c>
      <x:c r="C186" s="170" t="n">
        <x:f>IFERROR(INDEX('Client Overview'!$B$6:$G$40,MATCH(A186,'Client Overview'!$A$6:$A$40,0),MATCH(B186,'Client Overview'!$B$5:$G$5,0)),"")</x:f>
        <x:v>46037</x:v>
      </x:c>
      <x:c r="D186" s="173" t="n">
        <x:f>IFERROR(INDEX('Client Overview'!$I$5:$I$10,MATCH(B186,'Client Overview'!$H$5:$H$10,0)),"")</x:f>
        <x:v>15</x:v>
      </x:c>
      <x:c r="E186" s="170" t="n">
        <x:f>IF(OR(C186="",D186=""),"",EDATE(C186,D186))</x:f>
        <x:v>46492</x:v>
      </x:c>
      <x:c r="F186" s="173" t="n">
        <x:f>IF(E186="","",E186-TODAY())</x:f>
        <x:v>239</x:v>
      </x:c>
      <x:c r="G186" s="166" t="str">
        <x:f>IF(E186="","No Date",IF(F186&lt;=INDEX('Client Overview'!$K$5:$K$10,MATCH(B186,'Client Overview'!$H$5:$H$10,0))*30.4375,"Red",IF(F186&lt;=INDEX('Client Overview'!$J$5:$J$10,MATCH(B186,'Client Overview'!$H$5:$H$10,0))*30.4375,"Yellow","Green")))</x:f>
        <x:v>Green</x:v>
      </x:c>
    </x:row>
    <x:row r="187" ht="22" customHeight="1">
      <x:c r="A187" s="159" t="str">
        <x:f>INDEX('Client Overview'!$A$6:$A$40,INT((ROW()-16)/6)+1)</x:f>
        <x:v>Organization 29</x:v>
      </x:c>
      <x:c r="B187" s="160" t="str">
        <x:f>INDEX('Client Overview'!$B$5:$G$5,1,MOD(ROW()-16,6)+1)</x:f>
        <x:v>CSIRP Tabletop Completion</x:v>
      </x:c>
      <x:c r="C187" s="170" t="n">
        <x:f>IFERROR(INDEX('Client Overview'!$B$6:$G$40,MATCH(A187,'Client Overview'!$A$6:$A$40,0),MATCH(B187,'Client Overview'!$B$5:$G$5,0)),"")</x:f>
        <x:v>45214</x:v>
      </x:c>
      <x:c r="D187" s="173" t="n">
        <x:f>IFERROR(INDEX('Client Overview'!$I$5:$I$10,MATCH(B187,'Client Overview'!$H$5:$H$10,0)),"")</x:f>
        <x:v>36</x:v>
      </x:c>
      <x:c r="E187" s="170" t="n">
        <x:f>IF(OR(C187="",D187=""),"",EDATE(C187,D187))</x:f>
        <x:v>46310</x:v>
      </x:c>
      <x:c r="F187" s="173" t="n">
        <x:f>IF(E187="","",E187-TODAY())</x:f>
        <x:v>57</x:v>
      </x:c>
      <x:c r="G187" s="166" t="str">
        <x:f>IF(E187="","No Date",IF(F187&lt;=INDEX('Client Overview'!$K$5:$K$10,MATCH(B187,'Client Overview'!$H$5:$H$10,0))*30.4375,"Red",IF(F187&lt;=INDEX('Client Overview'!$J$5:$J$10,MATCH(B187,'Client Overview'!$H$5:$H$10,0))*30.4375,"Yellow","Green")))</x:f>
        <x:v>Red</x:v>
      </x:c>
    </x:row>
    <x:row r="188" ht="22" customHeight="1">
      <x:c r="A188" s="159" t="str">
        <x:f>INDEX('Client Overview'!$A$6:$A$40,INT((ROW()-16)/6)+1)</x:f>
        <x:v>Organization 29</x:v>
      </x:c>
      <x:c r="B188" s="160" t="str">
        <x:f>INDEX('Client Overview'!$B$5:$G$5,1,MOD(ROW()-16,6)+1)</x:f>
        <x:v>RSAW Evidence Tracker</x:v>
      </x:c>
      <x:c r="C188" s="170" t="n">
        <x:f>IFERROR(INDEX('Client Overview'!$B$6:$G$40,MATCH(A188,'Client Overview'!$A$6:$A$40,0),MATCH(B188,'Client Overview'!$B$5:$G$5,0)),"")</x:f>
        <x:v>46174</x:v>
      </x:c>
      <x:c r="D188" s="173" t="n">
        <x:f>IFERROR(INDEX('Client Overview'!$I$5:$I$10,MATCH(B188,'Client Overview'!$H$5:$H$10,0)),"")</x:f>
        <x:v>12</x:v>
      </x:c>
      <x:c r="E188" s="170" t="n">
        <x:f>IF(OR(C188="",D188=""),"",EDATE(C188,D188))</x:f>
        <x:v>46539</x:v>
      </x:c>
      <x:c r="F188" s="173" t="n">
        <x:f>IF(E188="","",E188-TODAY())</x:f>
        <x:v>286</x:v>
      </x:c>
      <x:c r="G188" s="166" t="str">
        <x:f>IF(E188="","No Date",IF(F188&lt;=INDEX('Client Overview'!$K$5:$K$10,MATCH(B188,'Client Overview'!$H$5:$H$10,0))*30.4375,"Red",IF(F188&lt;=INDEX('Client Overview'!$J$5:$J$10,MATCH(B188,'Client Overview'!$H$5:$H$10,0))*30.4375,"Yellow","Green")))</x:f>
        <x:v>Green</x:v>
      </x:c>
    </x:row>
    <x:row r="189" ht="22" customHeight="1">
      <x:c r="A189" s="159" t="str">
        <x:f>INDEX('Client Overview'!$A$6:$A$40,INT((ROW()-16)/6)+1)</x:f>
        <x:v>Organization 29</x:v>
      </x:c>
      <x:c r="B189" s="160" t="str">
        <x:f>INDEX('Client Overview'!$B$5:$G$5,1,MOD(ROW()-16,6)+1)</x:f>
        <x:v>CIP Monthly Questions</x:v>
      </x:c>
      <x:c r="C189" s="170" t="str">
        <x:f>IFERROR(INDEX('Client Overview'!$B$6:$G$40,MATCH(A189,'Client Overview'!$A$6:$A$40,0),MATCH(B189,'Client Overview'!$B$5:$G$5,0)),"")</x:f>
      </x:c>
      <x:c r="D189" s="173" t="n">
        <x:f>IFERROR(INDEX('Client Overview'!$I$5:$I$10,MATCH(B189,'Client Overview'!$H$5:$H$10,0)),"")</x:f>
        <x:v>1</x:v>
      </x:c>
      <x:c r="E189" s="170" t="str">
        <x:f>IF(OR(C189="",D189=""),"",EDATE(C189,D189))</x:f>
      </x:c>
      <x:c r="F189" s="173" t="str">
        <x:f>IF(E189="","",E189-TODAY())</x:f>
      </x:c>
      <x:c r="G189" s="166" t="str">
        <x:f>IF(E189="","No Date",IF(F189&lt;=INDEX('Client Overview'!$K$5:$K$10,MATCH(B189,'Client Overview'!$H$5:$H$10,0))*30.4375,"Red",IF(F189&lt;=INDEX('Client Overview'!$J$5:$J$10,MATCH(B189,'Client Overview'!$H$5:$H$10,0))*30.4375,"Yellow","Green")))</x:f>
        <x:v>No Date</x:v>
      </x:c>
    </x:row>
    <x:row r="190" ht="22" customHeight="1">
      <x:c r="A190" s="159" t="str">
        <x:f>INDEX('Client Overview'!$A$6:$A$40,INT((ROW()-16)/6)+1)</x:f>
        <x:v>Organization 30</x:v>
      </x:c>
      <x:c r="B190" s="160" t="str">
        <x:f>INDEX('Client Overview'!$B$5:$G$5,1,MOD(ROW()-16,6)+1)</x:f>
        <x:v>Policy #1</x:v>
      </x:c>
      <x:c r="C190" s="170" t="n">
        <x:f>IFERROR(INDEX('Client Overview'!$B$6:$G$40,MATCH(A190,'Client Overview'!$A$6:$A$40,0),MATCH(B190,'Client Overview'!$B$5:$G$5,0)),"")</x:f>
        <x:v>46037</x:v>
      </x:c>
      <x:c r="D190" s="173" t="n">
        <x:f>IFERROR(INDEX('Client Overview'!$I$5:$I$10,MATCH(B190,'Client Overview'!$H$5:$H$10,0)),"")</x:f>
        <x:v>15</x:v>
      </x:c>
      <x:c r="E190" s="170" t="n">
        <x:f>IF(OR(C190="",D190=""),"",EDATE(C190,D190))</x:f>
        <x:v>46492</x:v>
      </x:c>
      <x:c r="F190" s="173" t="n">
        <x:f>IF(E190="","",E190-TODAY())</x:f>
        <x:v>239</x:v>
      </x:c>
      <x:c r="G190" s="166" t="str">
        <x:f>IF(E190="","No Date",IF(F190&lt;=INDEX('Client Overview'!$K$5:$K$10,MATCH(B190,'Client Overview'!$H$5:$H$10,0))*30.4375,"Red",IF(F190&lt;=INDEX('Client Overview'!$J$5:$J$10,MATCH(B190,'Client Overview'!$H$5:$H$10,0))*30.4375,"Yellow","Green")))</x:f>
        <x:v>Green</x:v>
      </x:c>
    </x:row>
    <x:row r="191" ht="22" customHeight="1">
      <x:c r="A191" s="159" t="str">
        <x:f>INDEX('Client Overview'!$A$6:$A$40,INT((ROW()-16)/6)+1)</x:f>
        <x:v>Organization 30</x:v>
      </x:c>
      <x:c r="B191" s="160" t="str">
        <x:f>INDEX('Client Overview'!$B$5:$G$5,1,MOD(ROW()-16,6)+1)</x:f>
        <x:v>Policy #2–7</x:v>
      </x:c>
      <x:c r="C191" s="170" t="n">
        <x:f>IFERROR(INDEX('Client Overview'!$B$6:$G$40,MATCH(A191,'Client Overview'!$A$6:$A$40,0),MATCH(B191,'Client Overview'!$B$5:$G$5,0)),"")</x:f>
        <x:v>46037</x:v>
      </x:c>
      <x:c r="D191" s="173" t="n">
        <x:f>IFERROR(INDEX('Client Overview'!$I$5:$I$10,MATCH(B191,'Client Overview'!$H$5:$H$10,0)),"")</x:f>
        <x:v>15</x:v>
      </x:c>
      <x:c r="E191" s="170" t="n">
        <x:f>IF(OR(C191="",D191=""),"",EDATE(C191,D191))</x:f>
        <x:v>46492</x:v>
      </x:c>
      <x:c r="F191" s="173" t="n">
        <x:f>IF(E191="","",E191-TODAY())</x:f>
        <x:v>239</x:v>
      </x:c>
      <x:c r="G191" s="166" t="str">
        <x:f>IF(E191="","No Date",IF(F191&lt;=INDEX('Client Overview'!$K$5:$K$10,MATCH(B191,'Client Overview'!$H$5:$H$10,0))*30.4375,"Red",IF(F191&lt;=INDEX('Client Overview'!$J$5:$J$10,MATCH(B191,'Client Overview'!$H$5:$H$10,0))*30.4375,"Yellow","Green")))</x:f>
        <x:v>Green</x:v>
      </x:c>
    </x:row>
    <x:row r="192" ht="22" customHeight="1">
      <x:c r="A192" s="159" t="str">
        <x:f>INDEX('Client Overview'!$A$6:$A$40,INT((ROW()-16)/6)+1)</x:f>
        <x:v>Organization 30</x:v>
      </x:c>
      <x:c r="B192" s="160" t="str">
        <x:f>INDEX('Client Overview'!$B$5:$G$5,1,MOD(ROW()-16,6)+1)</x:f>
        <x:v>Annual Review</x:v>
      </x:c>
      <x:c r="C192" s="170" t="n">
        <x:f>IFERROR(INDEX('Client Overview'!$B$6:$G$40,MATCH(A192,'Client Overview'!$A$6:$A$40,0),MATCH(B192,'Client Overview'!$B$5:$G$5,0)),"")</x:f>
        <x:v>46037</x:v>
      </x:c>
      <x:c r="D192" s="173" t="n">
        <x:f>IFERROR(INDEX('Client Overview'!$I$5:$I$10,MATCH(B192,'Client Overview'!$H$5:$H$10,0)),"")</x:f>
        <x:v>15</x:v>
      </x:c>
      <x:c r="E192" s="170" t="n">
        <x:f>IF(OR(C192="",D192=""),"",EDATE(C192,D192))</x:f>
        <x:v>46492</x:v>
      </x:c>
      <x:c r="F192" s="173" t="n">
        <x:f>IF(E192="","",E192-TODAY())</x:f>
        <x:v>239</x:v>
      </x:c>
      <x:c r="G192" s="166" t="str">
        <x:f>IF(E192="","No Date",IF(F192&lt;=INDEX('Client Overview'!$K$5:$K$10,MATCH(B192,'Client Overview'!$H$5:$H$10,0))*30.4375,"Red",IF(F192&lt;=INDEX('Client Overview'!$J$5:$J$10,MATCH(B192,'Client Overview'!$H$5:$H$10,0))*30.4375,"Yellow","Green")))</x:f>
        <x:v>Green</x:v>
      </x:c>
    </x:row>
    <x:row r="193" ht="22" customHeight="1">
      <x:c r="A193" s="159" t="str">
        <x:f>INDEX('Client Overview'!$A$6:$A$40,INT((ROW()-16)/6)+1)</x:f>
        <x:v>Organization 30</x:v>
      </x:c>
      <x:c r="B193" s="160" t="str">
        <x:f>INDEX('Client Overview'!$B$5:$G$5,1,MOD(ROW()-16,6)+1)</x:f>
        <x:v>CSIRP Tabletop Completion</x:v>
      </x:c>
      <x:c r="C193" s="170" t="n">
        <x:f>IFERROR(INDEX('Client Overview'!$B$6:$G$40,MATCH(A193,'Client Overview'!$A$6:$A$40,0),MATCH(B193,'Client Overview'!$B$5:$G$5,0)),"")</x:f>
        <x:v>45214</x:v>
      </x:c>
      <x:c r="D193" s="173" t="n">
        <x:f>IFERROR(INDEX('Client Overview'!$I$5:$I$10,MATCH(B193,'Client Overview'!$H$5:$H$10,0)),"")</x:f>
        <x:v>36</x:v>
      </x:c>
      <x:c r="E193" s="170" t="n">
        <x:f>IF(OR(C193="",D193=""),"",EDATE(C193,D193))</x:f>
        <x:v>46310</x:v>
      </x:c>
      <x:c r="F193" s="173" t="n">
        <x:f>IF(E193="","",E193-TODAY())</x:f>
        <x:v>57</x:v>
      </x:c>
      <x:c r="G193" s="166" t="str">
        <x:f>IF(E193="","No Date",IF(F193&lt;=INDEX('Client Overview'!$K$5:$K$10,MATCH(B193,'Client Overview'!$H$5:$H$10,0))*30.4375,"Red",IF(F193&lt;=INDEX('Client Overview'!$J$5:$J$10,MATCH(B193,'Client Overview'!$H$5:$H$10,0))*30.4375,"Yellow","Green")))</x:f>
        <x:v>Red</x:v>
      </x:c>
    </x:row>
    <x:row r="194" ht="22" customHeight="1">
      <x:c r="A194" s="159" t="str">
        <x:f>INDEX('Client Overview'!$A$6:$A$40,INT((ROW()-16)/6)+1)</x:f>
        <x:v>Organization 30</x:v>
      </x:c>
      <x:c r="B194" s="160" t="str">
        <x:f>INDEX('Client Overview'!$B$5:$G$5,1,MOD(ROW()-16,6)+1)</x:f>
        <x:v>RSAW Evidence Tracker</x:v>
      </x:c>
      <x:c r="C194" s="170" t="n">
        <x:f>IFERROR(INDEX('Client Overview'!$B$6:$G$40,MATCH(A194,'Client Overview'!$A$6:$A$40,0),MATCH(B194,'Client Overview'!$B$5:$G$5,0)),"")</x:f>
        <x:v>46174</x:v>
      </x:c>
      <x:c r="D194" s="173" t="n">
        <x:f>IFERROR(INDEX('Client Overview'!$I$5:$I$10,MATCH(B194,'Client Overview'!$H$5:$H$10,0)),"")</x:f>
        <x:v>12</x:v>
      </x:c>
      <x:c r="E194" s="170" t="n">
        <x:f>IF(OR(C194="",D194=""),"",EDATE(C194,D194))</x:f>
        <x:v>46539</x:v>
      </x:c>
      <x:c r="F194" s="173" t="n">
        <x:f>IF(E194="","",E194-TODAY())</x:f>
        <x:v>286</x:v>
      </x:c>
      <x:c r="G194" s="166" t="str">
        <x:f>IF(E194="","No Date",IF(F194&lt;=INDEX('Client Overview'!$K$5:$K$10,MATCH(B194,'Client Overview'!$H$5:$H$10,0))*30.4375,"Red",IF(F194&lt;=INDEX('Client Overview'!$J$5:$J$10,MATCH(B194,'Client Overview'!$H$5:$H$10,0))*30.4375,"Yellow","Green")))</x:f>
        <x:v>Green</x:v>
      </x:c>
    </x:row>
    <x:row r="195" ht="22" customHeight="1">
      <x:c r="A195" s="159" t="str">
        <x:f>INDEX('Client Overview'!$A$6:$A$40,INT((ROW()-16)/6)+1)</x:f>
        <x:v>Organization 30</x:v>
      </x:c>
      <x:c r="B195" s="160" t="str">
        <x:f>INDEX('Client Overview'!$B$5:$G$5,1,MOD(ROW()-16,6)+1)</x:f>
        <x:v>CIP Monthly Questions</x:v>
      </x:c>
      <x:c r="C195" s="170" t="str">
        <x:f>IFERROR(INDEX('Client Overview'!$B$6:$G$40,MATCH(A195,'Client Overview'!$A$6:$A$40,0),MATCH(B195,'Client Overview'!$B$5:$G$5,0)),"")</x:f>
      </x:c>
      <x:c r="D195" s="173" t="n">
        <x:f>IFERROR(INDEX('Client Overview'!$I$5:$I$10,MATCH(B195,'Client Overview'!$H$5:$H$10,0)),"")</x:f>
        <x:v>1</x:v>
      </x:c>
      <x:c r="E195" s="170" t="str">
        <x:f>IF(OR(C195="",D195=""),"",EDATE(C195,D195))</x:f>
      </x:c>
      <x:c r="F195" s="173" t="str">
        <x:f>IF(E195="","",E195-TODAY())</x:f>
      </x:c>
      <x:c r="G195" s="166" t="str">
        <x:f>IF(E195="","No Date",IF(F195&lt;=INDEX('Client Overview'!$K$5:$K$10,MATCH(B195,'Client Overview'!$H$5:$H$10,0))*30.4375,"Red",IF(F195&lt;=INDEX('Client Overview'!$J$5:$J$10,MATCH(B195,'Client Overview'!$H$5:$H$10,0))*30.4375,"Yellow","Green")))</x:f>
        <x:v>No Date</x:v>
      </x:c>
    </x:row>
    <x:row r="196" ht="22" customHeight="1">
      <x:c r="A196" s="159" t="str">
        <x:f>INDEX('Client Overview'!$A$6:$A$40,INT((ROW()-16)/6)+1)</x:f>
        <x:v>Organization 31</x:v>
      </x:c>
      <x:c r="B196" s="160" t="str">
        <x:f>INDEX('Client Overview'!$B$5:$G$5,1,MOD(ROW()-16,6)+1)</x:f>
        <x:v>Policy #1</x:v>
      </x:c>
      <x:c r="C196" s="170" t="n">
        <x:f>IFERROR(INDEX('Client Overview'!$B$6:$G$40,MATCH(A196,'Client Overview'!$A$6:$A$40,0),MATCH(B196,'Client Overview'!$B$5:$G$5,0)),"")</x:f>
        <x:v>46037</x:v>
      </x:c>
      <x:c r="D196" s="173" t="n">
        <x:f>IFERROR(INDEX('Client Overview'!$I$5:$I$10,MATCH(B196,'Client Overview'!$H$5:$H$10,0)),"")</x:f>
        <x:v>15</x:v>
      </x:c>
      <x:c r="E196" s="170" t="n">
        <x:f>IF(OR(C196="",D196=""),"",EDATE(C196,D196))</x:f>
        <x:v>46492</x:v>
      </x:c>
      <x:c r="F196" s="173" t="n">
        <x:f>IF(E196="","",E196-TODAY())</x:f>
        <x:v>239</x:v>
      </x:c>
      <x:c r="G196" s="166" t="str">
        <x:f>IF(E196="","No Date",IF(F196&lt;=INDEX('Client Overview'!$K$5:$K$10,MATCH(B196,'Client Overview'!$H$5:$H$10,0))*30.4375,"Red",IF(F196&lt;=INDEX('Client Overview'!$J$5:$J$10,MATCH(B196,'Client Overview'!$H$5:$H$10,0))*30.4375,"Yellow","Green")))</x:f>
        <x:v>Green</x:v>
      </x:c>
    </x:row>
    <x:row r="197" ht="22" customHeight="1">
      <x:c r="A197" s="159" t="str">
        <x:f>INDEX('Client Overview'!$A$6:$A$40,INT((ROW()-16)/6)+1)</x:f>
        <x:v>Organization 31</x:v>
      </x:c>
      <x:c r="B197" s="160" t="str">
        <x:f>INDEX('Client Overview'!$B$5:$G$5,1,MOD(ROW()-16,6)+1)</x:f>
        <x:v>Policy #2–7</x:v>
      </x:c>
      <x:c r="C197" s="170" t="n">
        <x:f>IFERROR(INDEX('Client Overview'!$B$6:$G$40,MATCH(A197,'Client Overview'!$A$6:$A$40,0),MATCH(B197,'Client Overview'!$B$5:$G$5,0)),"")</x:f>
        <x:v>46037</x:v>
      </x:c>
      <x:c r="D197" s="173" t="n">
        <x:f>IFERROR(INDEX('Client Overview'!$I$5:$I$10,MATCH(B197,'Client Overview'!$H$5:$H$10,0)),"")</x:f>
        <x:v>15</x:v>
      </x:c>
      <x:c r="E197" s="170" t="n">
        <x:f>IF(OR(C197="",D197=""),"",EDATE(C197,D197))</x:f>
        <x:v>46492</x:v>
      </x:c>
      <x:c r="F197" s="173" t="n">
        <x:f>IF(E197="","",E197-TODAY())</x:f>
        <x:v>239</x:v>
      </x:c>
      <x:c r="G197" s="166" t="str">
        <x:f>IF(E197="","No Date",IF(F197&lt;=INDEX('Client Overview'!$K$5:$K$10,MATCH(B197,'Client Overview'!$H$5:$H$10,0))*30.4375,"Red",IF(F197&lt;=INDEX('Client Overview'!$J$5:$J$10,MATCH(B197,'Client Overview'!$H$5:$H$10,0))*30.4375,"Yellow","Green")))</x:f>
        <x:v>Green</x:v>
      </x:c>
    </x:row>
    <x:row r="198" ht="22" customHeight="1">
      <x:c r="A198" s="159" t="str">
        <x:f>INDEX('Client Overview'!$A$6:$A$40,INT((ROW()-16)/6)+1)</x:f>
        <x:v>Organization 31</x:v>
      </x:c>
      <x:c r="B198" s="160" t="str">
        <x:f>INDEX('Client Overview'!$B$5:$G$5,1,MOD(ROW()-16,6)+1)</x:f>
        <x:v>Annual Review</x:v>
      </x:c>
      <x:c r="C198" s="170" t="n">
        <x:f>IFERROR(INDEX('Client Overview'!$B$6:$G$40,MATCH(A198,'Client Overview'!$A$6:$A$40,0),MATCH(B198,'Client Overview'!$B$5:$G$5,0)),"")</x:f>
        <x:v>46037</x:v>
      </x:c>
      <x:c r="D198" s="173" t="n">
        <x:f>IFERROR(INDEX('Client Overview'!$I$5:$I$10,MATCH(B198,'Client Overview'!$H$5:$H$10,0)),"")</x:f>
        <x:v>15</x:v>
      </x:c>
      <x:c r="E198" s="170" t="n">
        <x:f>IF(OR(C198="",D198=""),"",EDATE(C198,D198))</x:f>
        <x:v>46492</x:v>
      </x:c>
      <x:c r="F198" s="173" t="n">
        <x:f>IF(E198="","",E198-TODAY())</x:f>
        <x:v>239</x:v>
      </x:c>
      <x:c r="G198" s="166" t="str">
        <x:f>IF(E198="","No Date",IF(F198&lt;=INDEX('Client Overview'!$K$5:$K$10,MATCH(B198,'Client Overview'!$H$5:$H$10,0))*30.4375,"Red",IF(F198&lt;=INDEX('Client Overview'!$J$5:$J$10,MATCH(B198,'Client Overview'!$H$5:$H$10,0))*30.4375,"Yellow","Green")))</x:f>
        <x:v>Green</x:v>
      </x:c>
    </x:row>
    <x:row r="199" ht="22" customHeight="1">
      <x:c r="A199" s="159" t="str">
        <x:f>INDEX('Client Overview'!$A$6:$A$40,INT((ROW()-16)/6)+1)</x:f>
        <x:v>Organization 31</x:v>
      </x:c>
      <x:c r="B199" s="160" t="str">
        <x:f>INDEX('Client Overview'!$B$5:$G$5,1,MOD(ROW()-16,6)+1)</x:f>
        <x:v>CSIRP Tabletop Completion</x:v>
      </x:c>
      <x:c r="C199" s="170" t="n">
        <x:f>IFERROR(INDEX('Client Overview'!$B$6:$G$40,MATCH(A199,'Client Overview'!$A$6:$A$40,0),MATCH(B199,'Client Overview'!$B$5:$G$5,0)),"")</x:f>
        <x:v>45214</x:v>
      </x:c>
      <x:c r="D199" s="173" t="n">
        <x:f>IFERROR(INDEX('Client Overview'!$I$5:$I$10,MATCH(B199,'Client Overview'!$H$5:$H$10,0)),"")</x:f>
        <x:v>36</x:v>
      </x:c>
      <x:c r="E199" s="170" t="n">
        <x:f>IF(OR(C199="",D199=""),"",EDATE(C199,D199))</x:f>
        <x:v>46310</x:v>
      </x:c>
      <x:c r="F199" s="173" t="n">
        <x:f>IF(E199="","",E199-TODAY())</x:f>
        <x:v>57</x:v>
      </x:c>
      <x:c r="G199" s="166" t="str">
        <x:f>IF(E199="","No Date",IF(F199&lt;=INDEX('Client Overview'!$K$5:$K$10,MATCH(B199,'Client Overview'!$H$5:$H$10,0))*30.4375,"Red",IF(F199&lt;=INDEX('Client Overview'!$J$5:$J$10,MATCH(B199,'Client Overview'!$H$5:$H$10,0))*30.4375,"Yellow","Green")))</x:f>
        <x:v>Red</x:v>
      </x:c>
    </x:row>
    <x:row r="200" ht="22" customHeight="1">
      <x:c r="A200" s="159" t="str">
        <x:f>INDEX('Client Overview'!$A$6:$A$40,INT((ROW()-16)/6)+1)</x:f>
        <x:v>Organization 31</x:v>
      </x:c>
      <x:c r="B200" s="160" t="str">
        <x:f>INDEX('Client Overview'!$B$5:$G$5,1,MOD(ROW()-16,6)+1)</x:f>
        <x:v>RSAW Evidence Tracker</x:v>
      </x:c>
      <x:c r="C200" s="170" t="n">
        <x:f>IFERROR(INDEX('Client Overview'!$B$6:$G$40,MATCH(A200,'Client Overview'!$A$6:$A$40,0),MATCH(B200,'Client Overview'!$B$5:$G$5,0)),"")</x:f>
        <x:v>46174</x:v>
      </x:c>
      <x:c r="D200" s="173" t="n">
        <x:f>IFERROR(INDEX('Client Overview'!$I$5:$I$10,MATCH(B200,'Client Overview'!$H$5:$H$10,0)),"")</x:f>
        <x:v>12</x:v>
      </x:c>
      <x:c r="E200" s="170" t="n">
        <x:f>IF(OR(C200="",D200=""),"",EDATE(C200,D200))</x:f>
        <x:v>46539</x:v>
      </x:c>
      <x:c r="F200" s="173" t="n">
        <x:f>IF(E200="","",E200-TODAY())</x:f>
        <x:v>286</x:v>
      </x:c>
      <x:c r="G200" s="166" t="str">
        <x:f>IF(E200="","No Date",IF(F200&lt;=INDEX('Client Overview'!$K$5:$K$10,MATCH(B200,'Client Overview'!$H$5:$H$10,0))*30.4375,"Red",IF(F200&lt;=INDEX('Client Overview'!$J$5:$J$10,MATCH(B200,'Client Overview'!$H$5:$H$10,0))*30.4375,"Yellow","Green")))</x:f>
        <x:v>Green</x:v>
      </x:c>
    </x:row>
    <x:row r="201" ht="22" customHeight="1">
      <x:c r="A201" s="159" t="str">
        <x:f>INDEX('Client Overview'!$A$6:$A$40,INT((ROW()-16)/6)+1)</x:f>
        <x:v>Organization 31</x:v>
      </x:c>
      <x:c r="B201" s="160" t="str">
        <x:f>INDEX('Client Overview'!$B$5:$G$5,1,MOD(ROW()-16,6)+1)</x:f>
        <x:v>CIP Monthly Questions</x:v>
      </x:c>
      <x:c r="C201" s="170" t="str">
        <x:f>IFERROR(INDEX('Client Overview'!$B$6:$G$40,MATCH(A201,'Client Overview'!$A$6:$A$40,0),MATCH(B201,'Client Overview'!$B$5:$G$5,0)),"")</x:f>
      </x:c>
      <x:c r="D201" s="173" t="n">
        <x:f>IFERROR(INDEX('Client Overview'!$I$5:$I$10,MATCH(B201,'Client Overview'!$H$5:$H$10,0)),"")</x:f>
        <x:v>1</x:v>
      </x:c>
      <x:c r="E201" s="170" t="str">
        <x:f>IF(OR(C201="",D201=""),"",EDATE(C201,D201))</x:f>
      </x:c>
      <x:c r="F201" s="173" t="str">
        <x:f>IF(E201="","",E201-TODAY())</x:f>
      </x:c>
      <x:c r="G201" s="166" t="str">
        <x:f>IF(E201="","No Date",IF(F201&lt;=INDEX('Client Overview'!$K$5:$K$10,MATCH(B201,'Client Overview'!$H$5:$H$10,0))*30.4375,"Red",IF(F201&lt;=INDEX('Client Overview'!$J$5:$J$10,MATCH(B201,'Client Overview'!$H$5:$H$10,0))*30.4375,"Yellow","Green")))</x:f>
        <x:v>No Date</x:v>
      </x:c>
    </x:row>
    <x:row r="202" ht="22" customHeight="1">
      <x:c r="A202" s="159" t="str">
        <x:f>INDEX('Client Overview'!$A$6:$A$40,INT((ROW()-16)/6)+1)</x:f>
        <x:v>Organization 32</x:v>
      </x:c>
      <x:c r="B202" s="160" t="str">
        <x:f>INDEX('Client Overview'!$B$5:$G$5,1,MOD(ROW()-16,6)+1)</x:f>
        <x:v>Policy #1</x:v>
      </x:c>
      <x:c r="C202" s="170" t="n">
        <x:f>IFERROR(INDEX('Client Overview'!$B$6:$G$40,MATCH(A202,'Client Overview'!$A$6:$A$40,0),MATCH(B202,'Client Overview'!$B$5:$G$5,0)),"")</x:f>
        <x:v>46037</x:v>
      </x:c>
      <x:c r="D202" s="173" t="n">
        <x:f>IFERROR(INDEX('Client Overview'!$I$5:$I$10,MATCH(B202,'Client Overview'!$H$5:$H$10,0)),"")</x:f>
        <x:v>15</x:v>
      </x:c>
      <x:c r="E202" s="170" t="n">
        <x:f>IF(OR(C202="",D202=""),"",EDATE(C202,D202))</x:f>
        <x:v>46492</x:v>
      </x:c>
      <x:c r="F202" s="173" t="n">
        <x:f>IF(E202="","",E202-TODAY())</x:f>
        <x:v>239</x:v>
      </x:c>
      <x:c r="G202" s="166" t="str">
        <x:f>IF(E202="","No Date",IF(F202&lt;=INDEX('Client Overview'!$K$5:$K$10,MATCH(B202,'Client Overview'!$H$5:$H$10,0))*30.4375,"Red",IF(F202&lt;=INDEX('Client Overview'!$J$5:$J$10,MATCH(B202,'Client Overview'!$H$5:$H$10,0))*30.4375,"Yellow","Green")))</x:f>
        <x:v>Green</x:v>
      </x:c>
    </x:row>
    <x:row r="203" ht="22" customHeight="1">
      <x:c r="A203" s="159" t="str">
        <x:f>INDEX('Client Overview'!$A$6:$A$40,INT((ROW()-16)/6)+1)</x:f>
        <x:v>Organization 32</x:v>
      </x:c>
      <x:c r="B203" s="160" t="str">
        <x:f>INDEX('Client Overview'!$B$5:$G$5,1,MOD(ROW()-16,6)+1)</x:f>
        <x:v>Policy #2–7</x:v>
      </x:c>
      <x:c r="C203" s="170" t="n">
        <x:f>IFERROR(INDEX('Client Overview'!$B$6:$G$40,MATCH(A203,'Client Overview'!$A$6:$A$40,0),MATCH(B203,'Client Overview'!$B$5:$G$5,0)),"")</x:f>
        <x:v>46037</x:v>
      </x:c>
      <x:c r="D203" s="173" t="n">
        <x:f>IFERROR(INDEX('Client Overview'!$I$5:$I$10,MATCH(B203,'Client Overview'!$H$5:$H$10,0)),"")</x:f>
        <x:v>15</x:v>
      </x:c>
      <x:c r="E203" s="170" t="n">
        <x:f>IF(OR(C203="",D203=""),"",EDATE(C203,D203))</x:f>
        <x:v>46492</x:v>
      </x:c>
      <x:c r="F203" s="173" t="n">
        <x:f>IF(E203="","",E203-TODAY())</x:f>
        <x:v>239</x:v>
      </x:c>
      <x:c r="G203" s="166" t="str">
        <x:f>IF(E203="","No Date",IF(F203&lt;=INDEX('Client Overview'!$K$5:$K$10,MATCH(B203,'Client Overview'!$H$5:$H$10,0))*30.4375,"Red",IF(F203&lt;=INDEX('Client Overview'!$J$5:$J$10,MATCH(B203,'Client Overview'!$H$5:$H$10,0))*30.4375,"Yellow","Green")))</x:f>
        <x:v>Green</x:v>
      </x:c>
    </x:row>
    <x:row r="204" ht="22" customHeight="1">
      <x:c r="A204" s="159" t="str">
        <x:f>INDEX('Client Overview'!$A$6:$A$40,INT((ROW()-16)/6)+1)</x:f>
        <x:v>Organization 32</x:v>
      </x:c>
      <x:c r="B204" s="160" t="str">
        <x:f>INDEX('Client Overview'!$B$5:$G$5,1,MOD(ROW()-16,6)+1)</x:f>
        <x:v>Annual Review</x:v>
      </x:c>
      <x:c r="C204" s="170" t="n">
        <x:f>IFERROR(INDEX('Client Overview'!$B$6:$G$40,MATCH(A204,'Client Overview'!$A$6:$A$40,0),MATCH(B204,'Client Overview'!$B$5:$G$5,0)),"")</x:f>
        <x:v>46037</x:v>
      </x:c>
      <x:c r="D204" s="173" t="n">
        <x:f>IFERROR(INDEX('Client Overview'!$I$5:$I$10,MATCH(B204,'Client Overview'!$H$5:$H$10,0)),"")</x:f>
        <x:v>15</x:v>
      </x:c>
      <x:c r="E204" s="170" t="n">
        <x:f>IF(OR(C204="",D204=""),"",EDATE(C204,D204))</x:f>
        <x:v>46492</x:v>
      </x:c>
      <x:c r="F204" s="173" t="n">
        <x:f>IF(E204="","",E204-TODAY())</x:f>
        <x:v>239</x:v>
      </x:c>
      <x:c r="G204" s="166" t="str">
        <x:f>IF(E204="","No Date",IF(F204&lt;=INDEX('Client Overview'!$K$5:$K$10,MATCH(B204,'Client Overview'!$H$5:$H$10,0))*30.4375,"Red",IF(F204&lt;=INDEX('Client Overview'!$J$5:$J$10,MATCH(B204,'Client Overview'!$H$5:$H$10,0))*30.4375,"Yellow","Green")))</x:f>
        <x:v>Green</x:v>
      </x:c>
    </x:row>
    <x:row r="205" ht="22" customHeight="1">
      <x:c r="A205" s="159" t="str">
        <x:f>INDEX('Client Overview'!$A$6:$A$40,INT((ROW()-16)/6)+1)</x:f>
        <x:v>Organization 32</x:v>
      </x:c>
      <x:c r="B205" s="160" t="str">
        <x:f>INDEX('Client Overview'!$B$5:$G$5,1,MOD(ROW()-16,6)+1)</x:f>
        <x:v>CSIRP Tabletop Completion</x:v>
      </x:c>
      <x:c r="C205" s="170" t="n">
        <x:f>IFERROR(INDEX('Client Overview'!$B$6:$G$40,MATCH(A205,'Client Overview'!$A$6:$A$40,0),MATCH(B205,'Client Overview'!$B$5:$G$5,0)),"")</x:f>
        <x:v>45214</x:v>
      </x:c>
      <x:c r="D205" s="173" t="n">
        <x:f>IFERROR(INDEX('Client Overview'!$I$5:$I$10,MATCH(B205,'Client Overview'!$H$5:$H$10,0)),"")</x:f>
        <x:v>36</x:v>
      </x:c>
      <x:c r="E205" s="170" t="n">
        <x:f>IF(OR(C205="",D205=""),"",EDATE(C205,D205))</x:f>
        <x:v>46310</x:v>
      </x:c>
      <x:c r="F205" s="173" t="n">
        <x:f>IF(E205="","",E205-TODAY())</x:f>
        <x:v>57</x:v>
      </x:c>
      <x:c r="G205" s="166" t="str">
        <x:f>IF(E205="","No Date",IF(F205&lt;=INDEX('Client Overview'!$K$5:$K$10,MATCH(B205,'Client Overview'!$H$5:$H$10,0))*30.4375,"Red",IF(F205&lt;=INDEX('Client Overview'!$J$5:$J$10,MATCH(B205,'Client Overview'!$H$5:$H$10,0))*30.4375,"Yellow","Green")))</x:f>
        <x:v>Red</x:v>
      </x:c>
    </x:row>
    <x:row r="206" ht="22" customHeight="1">
      <x:c r="A206" s="159" t="str">
        <x:f>INDEX('Client Overview'!$A$6:$A$40,INT((ROW()-16)/6)+1)</x:f>
        <x:v>Organization 32</x:v>
      </x:c>
      <x:c r="B206" s="160" t="str">
        <x:f>INDEX('Client Overview'!$B$5:$G$5,1,MOD(ROW()-16,6)+1)</x:f>
        <x:v>RSAW Evidence Tracker</x:v>
      </x:c>
      <x:c r="C206" s="170" t="n">
        <x:f>IFERROR(INDEX('Client Overview'!$B$6:$G$40,MATCH(A206,'Client Overview'!$A$6:$A$40,0),MATCH(B206,'Client Overview'!$B$5:$G$5,0)),"")</x:f>
        <x:v>46174</x:v>
      </x:c>
      <x:c r="D206" s="173" t="n">
        <x:f>IFERROR(INDEX('Client Overview'!$I$5:$I$10,MATCH(B206,'Client Overview'!$H$5:$H$10,0)),"")</x:f>
        <x:v>12</x:v>
      </x:c>
      <x:c r="E206" s="170" t="n">
        <x:f>IF(OR(C206="",D206=""),"",EDATE(C206,D206))</x:f>
        <x:v>46539</x:v>
      </x:c>
      <x:c r="F206" s="173" t="n">
        <x:f>IF(E206="","",E206-TODAY())</x:f>
        <x:v>286</x:v>
      </x:c>
      <x:c r="G206" s="166" t="str">
        <x:f>IF(E206="","No Date",IF(F206&lt;=INDEX('Client Overview'!$K$5:$K$10,MATCH(B206,'Client Overview'!$H$5:$H$10,0))*30.4375,"Red",IF(F206&lt;=INDEX('Client Overview'!$J$5:$J$10,MATCH(B206,'Client Overview'!$H$5:$H$10,0))*30.4375,"Yellow","Green")))</x:f>
        <x:v>Green</x:v>
      </x:c>
    </x:row>
    <x:row r="207" ht="22" customHeight="1">
      <x:c r="A207" s="159" t="str">
        <x:f>INDEX('Client Overview'!$A$6:$A$40,INT((ROW()-16)/6)+1)</x:f>
        <x:v>Organization 32</x:v>
      </x:c>
      <x:c r="B207" s="160" t="str">
        <x:f>INDEX('Client Overview'!$B$5:$G$5,1,MOD(ROW()-16,6)+1)</x:f>
        <x:v>CIP Monthly Questions</x:v>
      </x:c>
      <x:c r="C207" s="170" t="str">
        <x:f>IFERROR(INDEX('Client Overview'!$B$6:$G$40,MATCH(A207,'Client Overview'!$A$6:$A$40,0),MATCH(B207,'Client Overview'!$B$5:$G$5,0)),"")</x:f>
      </x:c>
      <x:c r="D207" s="173" t="n">
        <x:f>IFERROR(INDEX('Client Overview'!$I$5:$I$10,MATCH(B207,'Client Overview'!$H$5:$H$10,0)),"")</x:f>
        <x:v>1</x:v>
      </x:c>
      <x:c r="E207" s="170" t="str">
        <x:f>IF(OR(C207="",D207=""),"",EDATE(C207,D207))</x:f>
      </x:c>
      <x:c r="F207" s="173" t="str">
        <x:f>IF(E207="","",E207-TODAY())</x:f>
      </x:c>
      <x:c r="G207" s="166" t="str">
        <x:f>IF(E207="","No Date",IF(F207&lt;=INDEX('Client Overview'!$K$5:$K$10,MATCH(B207,'Client Overview'!$H$5:$H$10,0))*30.4375,"Red",IF(F207&lt;=INDEX('Client Overview'!$J$5:$J$10,MATCH(B207,'Client Overview'!$H$5:$H$10,0))*30.4375,"Yellow","Green")))</x:f>
        <x:v>No Date</x:v>
      </x:c>
    </x:row>
    <x:row r="208" ht="22" customHeight="1">
      <x:c r="A208" s="159" t="str">
        <x:f>INDEX('Client Overview'!$A$6:$A$40,INT((ROW()-16)/6)+1)</x:f>
        <x:v>Organization 33</x:v>
      </x:c>
      <x:c r="B208" s="160" t="str">
        <x:f>INDEX('Client Overview'!$B$5:$G$5,1,MOD(ROW()-16,6)+1)</x:f>
        <x:v>Policy #1</x:v>
      </x:c>
      <x:c r="C208" s="170" t="n">
        <x:f>IFERROR(INDEX('Client Overview'!$B$6:$G$40,MATCH(A208,'Client Overview'!$A$6:$A$40,0),MATCH(B208,'Client Overview'!$B$5:$G$5,0)),"")</x:f>
        <x:v>46037</x:v>
      </x:c>
      <x:c r="D208" s="173" t="n">
        <x:f>IFERROR(INDEX('Client Overview'!$I$5:$I$10,MATCH(B208,'Client Overview'!$H$5:$H$10,0)),"")</x:f>
        <x:v>15</x:v>
      </x:c>
      <x:c r="E208" s="170" t="n">
        <x:f>IF(OR(C208="",D208=""),"",EDATE(C208,D208))</x:f>
        <x:v>46492</x:v>
      </x:c>
      <x:c r="F208" s="173" t="n">
        <x:f>IF(E208="","",E208-TODAY())</x:f>
        <x:v>239</x:v>
      </x:c>
      <x:c r="G208" s="166" t="str">
        <x:f>IF(E208="","No Date",IF(F208&lt;=INDEX('Client Overview'!$K$5:$K$10,MATCH(B208,'Client Overview'!$H$5:$H$10,0))*30.4375,"Red",IF(F208&lt;=INDEX('Client Overview'!$J$5:$J$10,MATCH(B208,'Client Overview'!$H$5:$H$10,0))*30.4375,"Yellow","Green")))</x:f>
        <x:v>Green</x:v>
      </x:c>
    </x:row>
    <x:row r="209" ht="22" customHeight="1">
      <x:c r="A209" s="159" t="str">
        <x:f>INDEX('Client Overview'!$A$6:$A$40,INT((ROW()-16)/6)+1)</x:f>
        <x:v>Organization 33</x:v>
      </x:c>
      <x:c r="B209" s="160" t="str">
        <x:f>INDEX('Client Overview'!$B$5:$G$5,1,MOD(ROW()-16,6)+1)</x:f>
        <x:v>Policy #2–7</x:v>
      </x:c>
      <x:c r="C209" s="170" t="n">
        <x:f>IFERROR(INDEX('Client Overview'!$B$6:$G$40,MATCH(A209,'Client Overview'!$A$6:$A$40,0),MATCH(B209,'Client Overview'!$B$5:$G$5,0)),"")</x:f>
        <x:v>46037</x:v>
      </x:c>
      <x:c r="D209" s="173" t="n">
        <x:f>IFERROR(INDEX('Client Overview'!$I$5:$I$10,MATCH(B209,'Client Overview'!$H$5:$H$10,0)),"")</x:f>
        <x:v>15</x:v>
      </x:c>
      <x:c r="E209" s="170" t="n">
        <x:f>IF(OR(C209="",D209=""),"",EDATE(C209,D209))</x:f>
        <x:v>46492</x:v>
      </x:c>
      <x:c r="F209" s="173" t="n">
        <x:f>IF(E209="","",E209-TODAY())</x:f>
        <x:v>239</x:v>
      </x:c>
      <x:c r="G209" s="166" t="str">
        <x:f>IF(E209="","No Date",IF(F209&lt;=INDEX('Client Overview'!$K$5:$K$10,MATCH(B209,'Client Overview'!$H$5:$H$10,0))*30.4375,"Red",IF(F209&lt;=INDEX('Client Overview'!$J$5:$J$10,MATCH(B209,'Client Overview'!$H$5:$H$10,0))*30.4375,"Yellow","Green")))</x:f>
        <x:v>Green</x:v>
      </x:c>
    </x:row>
    <x:row r="210" ht="22" customHeight="1">
      <x:c r="A210" s="159" t="str">
        <x:f>INDEX('Client Overview'!$A$6:$A$40,INT((ROW()-16)/6)+1)</x:f>
        <x:v>Organization 33</x:v>
      </x:c>
      <x:c r="B210" s="160" t="str">
        <x:f>INDEX('Client Overview'!$B$5:$G$5,1,MOD(ROW()-16,6)+1)</x:f>
        <x:v>Annual Review</x:v>
      </x:c>
      <x:c r="C210" s="170" t="n">
        <x:f>IFERROR(INDEX('Client Overview'!$B$6:$G$40,MATCH(A210,'Client Overview'!$A$6:$A$40,0),MATCH(B210,'Client Overview'!$B$5:$G$5,0)),"")</x:f>
        <x:v>46037</x:v>
      </x:c>
      <x:c r="D210" s="173" t="n">
        <x:f>IFERROR(INDEX('Client Overview'!$I$5:$I$10,MATCH(B210,'Client Overview'!$H$5:$H$10,0)),"")</x:f>
        <x:v>15</x:v>
      </x:c>
      <x:c r="E210" s="170" t="n">
        <x:f>IF(OR(C210="",D210=""),"",EDATE(C210,D210))</x:f>
        <x:v>46492</x:v>
      </x:c>
      <x:c r="F210" s="173" t="n">
        <x:f>IF(E210="","",E210-TODAY())</x:f>
        <x:v>239</x:v>
      </x:c>
      <x:c r="G210" s="166" t="str">
        <x:f>IF(E210="","No Date",IF(F210&lt;=INDEX('Client Overview'!$K$5:$K$10,MATCH(B210,'Client Overview'!$H$5:$H$10,0))*30.4375,"Red",IF(F210&lt;=INDEX('Client Overview'!$J$5:$J$10,MATCH(B210,'Client Overview'!$H$5:$H$10,0))*30.4375,"Yellow","Green")))</x:f>
        <x:v>Green</x:v>
      </x:c>
    </x:row>
    <x:row r="211" ht="22" customHeight="1">
      <x:c r="A211" s="159" t="str">
        <x:f>INDEX('Client Overview'!$A$6:$A$40,INT((ROW()-16)/6)+1)</x:f>
        <x:v>Organization 33</x:v>
      </x:c>
      <x:c r="B211" s="160" t="str">
        <x:f>INDEX('Client Overview'!$B$5:$G$5,1,MOD(ROW()-16,6)+1)</x:f>
        <x:v>CSIRP Tabletop Completion</x:v>
      </x:c>
      <x:c r="C211" s="170" t="n">
        <x:f>IFERROR(INDEX('Client Overview'!$B$6:$G$40,MATCH(A211,'Client Overview'!$A$6:$A$40,0),MATCH(B211,'Client Overview'!$B$5:$G$5,0)),"")</x:f>
        <x:v>45214</x:v>
      </x:c>
      <x:c r="D211" s="173" t="n">
        <x:f>IFERROR(INDEX('Client Overview'!$I$5:$I$10,MATCH(B211,'Client Overview'!$H$5:$H$10,0)),"")</x:f>
        <x:v>36</x:v>
      </x:c>
      <x:c r="E211" s="170" t="n">
        <x:f>IF(OR(C211="",D211=""),"",EDATE(C211,D211))</x:f>
        <x:v>46310</x:v>
      </x:c>
      <x:c r="F211" s="173" t="n">
        <x:f>IF(E211="","",E211-TODAY())</x:f>
        <x:v>57</x:v>
      </x:c>
      <x:c r="G211" s="166" t="str">
        <x:f>IF(E211="","No Date",IF(F211&lt;=INDEX('Client Overview'!$K$5:$K$10,MATCH(B211,'Client Overview'!$H$5:$H$10,0))*30.4375,"Red",IF(F211&lt;=INDEX('Client Overview'!$J$5:$J$10,MATCH(B211,'Client Overview'!$H$5:$H$10,0))*30.4375,"Yellow","Green")))</x:f>
        <x:v>Red</x:v>
      </x:c>
    </x:row>
    <x:row r="212" ht="22" customHeight="1">
      <x:c r="A212" s="159" t="str">
        <x:f>INDEX('Client Overview'!$A$6:$A$40,INT((ROW()-16)/6)+1)</x:f>
        <x:v>Organization 33</x:v>
      </x:c>
      <x:c r="B212" s="160" t="str">
        <x:f>INDEX('Client Overview'!$B$5:$G$5,1,MOD(ROW()-16,6)+1)</x:f>
        <x:v>RSAW Evidence Tracker</x:v>
      </x:c>
      <x:c r="C212" s="170" t="n">
        <x:f>IFERROR(INDEX('Client Overview'!$B$6:$G$40,MATCH(A212,'Client Overview'!$A$6:$A$40,0),MATCH(B212,'Client Overview'!$B$5:$G$5,0)),"")</x:f>
        <x:v>46174</x:v>
      </x:c>
      <x:c r="D212" s="173" t="n">
        <x:f>IFERROR(INDEX('Client Overview'!$I$5:$I$10,MATCH(B212,'Client Overview'!$H$5:$H$10,0)),"")</x:f>
        <x:v>12</x:v>
      </x:c>
      <x:c r="E212" s="170" t="n">
        <x:f>IF(OR(C212="",D212=""),"",EDATE(C212,D212))</x:f>
        <x:v>46539</x:v>
      </x:c>
      <x:c r="F212" s="173" t="n">
        <x:f>IF(E212="","",E212-TODAY())</x:f>
        <x:v>286</x:v>
      </x:c>
      <x:c r="G212" s="166" t="str">
        <x:f>IF(E212="","No Date",IF(F212&lt;=INDEX('Client Overview'!$K$5:$K$10,MATCH(B212,'Client Overview'!$H$5:$H$10,0))*30.4375,"Red",IF(F212&lt;=INDEX('Client Overview'!$J$5:$J$10,MATCH(B212,'Client Overview'!$H$5:$H$10,0))*30.4375,"Yellow","Green")))</x:f>
        <x:v>Green</x:v>
      </x:c>
    </x:row>
    <x:row r="213" ht="22" customHeight="1">
      <x:c r="A213" s="159" t="str">
        <x:f>INDEX('Client Overview'!$A$6:$A$40,INT((ROW()-16)/6)+1)</x:f>
        <x:v>Organization 33</x:v>
      </x:c>
      <x:c r="B213" s="160" t="str">
        <x:f>INDEX('Client Overview'!$B$5:$G$5,1,MOD(ROW()-16,6)+1)</x:f>
        <x:v>CIP Monthly Questions</x:v>
      </x:c>
      <x:c r="C213" s="170" t="str">
        <x:f>IFERROR(INDEX('Client Overview'!$B$6:$G$40,MATCH(A213,'Client Overview'!$A$6:$A$40,0),MATCH(B213,'Client Overview'!$B$5:$G$5,0)),"")</x:f>
      </x:c>
      <x:c r="D213" s="173" t="n">
        <x:f>IFERROR(INDEX('Client Overview'!$I$5:$I$10,MATCH(B213,'Client Overview'!$H$5:$H$10,0)),"")</x:f>
        <x:v>1</x:v>
      </x:c>
      <x:c r="E213" s="170" t="str">
        <x:f>IF(OR(C213="",D213=""),"",EDATE(C213,D213))</x:f>
      </x:c>
      <x:c r="F213" s="173" t="str">
        <x:f>IF(E213="","",E213-TODAY())</x:f>
      </x:c>
      <x:c r="G213" s="166" t="str">
        <x:f>IF(E213="","No Date",IF(F213&lt;=INDEX('Client Overview'!$K$5:$K$10,MATCH(B213,'Client Overview'!$H$5:$H$10,0))*30.4375,"Red",IF(F213&lt;=INDEX('Client Overview'!$J$5:$J$10,MATCH(B213,'Client Overview'!$H$5:$H$10,0))*30.4375,"Yellow","Green")))</x:f>
        <x:v>No Date</x:v>
      </x:c>
    </x:row>
    <x:row r="214" ht="22" customHeight="1">
      <x:c r="A214" s="159" t="str">
        <x:f>INDEX('Client Overview'!$A$6:$A$40,INT((ROW()-16)/6)+1)</x:f>
        <x:v>Organization 34</x:v>
      </x:c>
      <x:c r="B214" s="160" t="str">
        <x:f>INDEX('Client Overview'!$B$5:$G$5,1,MOD(ROW()-16,6)+1)</x:f>
        <x:v>Policy #1</x:v>
      </x:c>
      <x:c r="C214" s="170" t="n">
        <x:f>IFERROR(INDEX('Client Overview'!$B$6:$G$40,MATCH(A214,'Client Overview'!$A$6:$A$40,0),MATCH(B214,'Client Overview'!$B$5:$G$5,0)),"")</x:f>
        <x:v>46037</x:v>
      </x:c>
      <x:c r="D214" s="173" t="n">
        <x:f>IFERROR(INDEX('Client Overview'!$I$5:$I$10,MATCH(B214,'Client Overview'!$H$5:$H$10,0)),"")</x:f>
        <x:v>15</x:v>
      </x:c>
      <x:c r="E214" s="170" t="n">
        <x:f>IF(OR(C214="",D214=""),"",EDATE(C214,D214))</x:f>
        <x:v>46492</x:v>
      </x:c>
      <x:c r="F214" s="173" t="n">
        <x:f>IF(E214="","",E214-TODAY())</x:f>
        <x:v>239</x:v>
      </x:c>
      <x:c r="G214" s="166" t="str">
        <x:f>IF(E214="","No Date",IF(F214&lt;=INDEX('Client Overview'!$K$5:$K$10,MATCH(B214,'Client Overview'!$H$5:$H$10,0))*30.4375,"Red",IF(F214&lt;=INDEX('Client Overview'!$J$5:$J$10,MATCH(B214,'Client Overview'!$H$5:$H$10,0))*30.4375,"Yellow","Green")))</x:f>
        <x:v>Green</x:v>
      </x:c>
    </x:row>
    <x:row r="215" ht="22" customHeight="1">
      <x:c r="A215" s="159" t="str">
        <x:f>INDEX('Client Overview'!$A$6:$A$40,INT((ROW()-16)/6)+1)</x:f>
        <x:v>Organization 34</x:v>
      </x:c>
      <x:c r="B215" s="160" t="str">
        <x:f>INDEX('Client Overview'!$B$5:$G$5,1,MOD(ROW()-16,6)+1)</x:f>
        <x:v>Policy #2–7</x:v>
      </x:c>
      <x:c r="C215" s="170" t="n">
        <x:f>IFERROR(INDEX('Client Overview'!$B$6:$G$40,MATCH(A215,'Client Overview'!$A$6:$A$40,0),MATCH(B215,'Client Overview'!$B$5:$G$5,0)),"")</x:f>
        <x:v>46037</x:v>
      </x:c>
      <x:c r="D215" s="173" t="n">
        <x:f>IFERROR(INDEX('Client Overview'!$I$5:$I$10,MATCH(B215,'Client Overview'!$H$5:$H$10,0)),"")</x:f>
        <x:v>15</x:v>
      </x:c>
      <x:c r="E215" s="170" t="n">
        <x:f>IF(OR(C215="",D215=""),"",EDATE(C215,D215))</x:f>
        <x:v>46492</x:v>
      </x:c>
      <x:c r="F215" s="173" t="n">
        <x:f>IF(E215="","",E215-TODAY())</x:f>
        <x:v>239</x:v>
      </x:c>
      <x:c r="G215" s="166" t="str">
        <x:f>IF(E215="","No Date",IF(F215&lt;=INDEX('Client Overview'!$K$5:$K$10,MATCH(B215,'Client Overview'!$H$5:$H$10,0))*30.4375,"Red",IF(F215&lt;=INDEX('Client Overview'!$J$5:$J$10,MATCH(B215,'Client Overview'!$H$5:$H$10,0))*30.4375,"Yellow","Green")))</x:f>
        <x:v>Green</x:v>
      </x:c>
    </x:row>
    <x:row r="216" ht="22" customHeight="1">
      <x:c r="A216" s="159" t="str">
        <x:f>INDEX('Client Overview'!$A$6:$A$40,INT((ROW()-16)/6)+1)</x:f>
        <x:v>Organization 34</x:v>
      </x:c>
      <x:c r="B216" s="160" t="str">
        <x:f>INDEX('Client Overview'!$B$5:$G$5,1,MOD(ROW()-16,6)+1)</x:f>
        <x:v>Annual Review</x:v>
      </x:c>
      <x:c r="C216" s="170" t="n">
        <x:f>IFERROR(INDEX('Client Overview'!$B$6:$G$40,MATCH(A216,'Client Overview'!$A$6:$A$40,0),MATCH(B216,'Client Overview'!$B$5:$G$5,0)),"")</x:f>
        <x:v>46037</x:v>
      </x:c>
      <x:c r="D216" s="173" t="n">
        <x:f>IFERROR(INDEX('Client Overview'!$I$5:$I$10,MATCH(B216,'Client Overview'!$H$5:$H$10,0)),"")</x:f>
        <x:v>15</x:v>
      </x:c>
      <x:c r="E216" s="170" t="n">
        <x:f>IF(OR(C216="",D216=""),"",EDATE(C216,D216))</x:f>
        <x:v>46492</x:v>
      </x:c>
      <x:c r="F216" s="173" t="n">
        <x:f>IF(E216="","",E216-TODAY())</x:f>
        <x:v>239</x:v>
      </x:c>
      <x:c r="G216" s="166" t="str">
        <x:f>IF(E216="","No Date",IF(F216&lt;=INDEX('Client Overview'!$K$5:$K$10,MATCH(B216,'Client Overview'!$H$5:$H$10,0))*30.4375,"Red",IF(F216&lt;=INDEX('Client Overview'!$J$5:$J$10,MATCH(B216,'Client Overview'!$H$5:$H$10,0))*30.4375,"Yellow","Green")))</x:f>
        <x:v>Green</x:v>
      </x:c>
    </x:row>
    <x:row r="217" ht="22" customHeight="1">
      <x:c r="A217" s="159" t="str">
        <x:f>INDEX('Client Overview'!$A$6:$A$40,INT((ROW()-16)/6)+1)</x:f>
        <x:v>Organization 34</x:v>
      </x:c>
      <x:c r="B217" s="160" t="str">
        <x:f>INDEX('Client Overview'!$B$5:$G$5,1,MOD(ROW()-16,6)+1)</x:f>
        <x:v>CSIRP Tabletop Completion</x:v>
      </x:c>
      <x:c r="C217" s="170" t="n">
        <x:f>IFERROR(INDEX('Client Overview'!$B$6:$G$40,MATCH(A217,'Client Overview'!$A$6:$A$40,0),MATCH(B217,'Client Overview'!$B$5:$G$5,0)),"")</x:f>
        <x:v>45214</x:v>
      </x:c>
      <x:c r="D217" s="173" t="n">
        <x:f>IFERROR(INDEX('Client Overview'!$I$5:$I$10,MATCH(B217,'Client Overview'!$H$5:$H$10,0)),"")</x:f>
        <x:v>36</x:v>
      </x:c>
      <x:c r="E217" s="170" t="n">
        <x:f>IF(OR(C217="",D217=""),"",EDATE(C217,D217))</x:f>
        <x:v>46310</x:v>
      </x:c>
      <x:c r="F217" s="173" t="n">
        <x:f>IF(E217="","",E217-TODAY())</x:f>
        <x:v>57</x:v>
      </x:c>
      <x:c r="G217" s="166" t="str">
        <x:f>IF(E217="","No Date",IF(F217&lt;=INDEX('Client Overview'!$K$5:$K$10,MATCH(B217,'Client Overview'!$H$5:$H$10,0))*30.4375,"Red",IF(F217&lt;=INDEX('Client Overview'!$J$5:$J$10,MATCH(B217,'Client Overview'!$H$5:$H$10,0))*30.4375,"Yellow","Green")))</x:f>
        <x:v>Red</x:v>
      </x:c>
    </x:row>
    <x:row r="218" ht="22" customHeight="1">
      <x:c r="A218" s="159" t="str">
        <x:f>INDEX('Client Overview'!$A$6:$A$40,INT((ROW()-16)/6)+1)</x:f>
        <x:v>Organization 34</x:v>
      </x:c>
      <x:c r="B218" s="160" t="str">
        <x:f>INDEX('Client Overview'!$B$5:$G$5,1,MOD(ROW()-16,6)+1)</x:f>
        <x:v>RSAW Evidence Tracker</x:v>
      </x:c>
      <x:c r="C218" s="170" t="n">
        <x:f>IFERROR(INDEX('Client Overview'!$B$6:$G$40,MATCH(A218,'Client Overview'!$A$6:$A$40,0),MATCH(B218,'Client Overview'!$B$5:$G$5,0)),"")</x:f>
        <x:v>46174</x:v>
      </x:c>
      <x:c r="D218" s="173" t="n">
        <x:f>IFERROR(INDEX('Client Overview'!$I$5:$I$10,MATCH(B218,'Client Overview'!$H$5:$H$10,0)),"")</x:f>
        <x:v>12</x:v>
      </x:c>
      <x:c r="E218" s="170" t="n">
        <x:f>IF(OR(C218="",D218=""),"",EDATE(C218,D218))</x:f>
        <x:v>46539</x:v>
      </x:c>
      <x:c r="F218" s="173" t="n">
        <x:f>IF(E218="","",E218-TODAY())</x:f>
        <x:v>286</x:v>
      </x:c>
      <x:c r="G218" s="166" t="str">
        <x:f>IF(E218="","No Date",IF(F218&lt;=INDEX('Client Overview'!$K$5:$K$10,MATCH(B218,'Client Overview'!$H$5:$H$10,0))*30.4375,"Red",IF(F218&lt;=INDEX('Client Overview'!$J$5:$J$10,MATCH(B218,'Client Overview'!$H$5:$H$10,0))*30.4375,"Yellow","Green")))</x:f>
        <x:v>Green</x:v>
      </x:c>
    </x:row>
    <x:row r="219" ht="22" customHeight="1">
      <x:c r="A219" s="159" t="str">
        <x:f>INDEX('Client Overview'!$A$6:$A$40,INT((ROW()-16)/6)+1)</x:f>
        <x:v>Organization 34</x:v>
      </x:c>
      <x:c r="B219" s="160" t="str">
        <x:f>INDEX('Client Overview'!$B$5:$G$5,1,MOD(ROW()-16,6)+1)</x:f>
        <x:v>CIP Monthly Questions</x:v>
      </x:c>
      <x:c r="C219" s="170" t="str">
        <x:f>IFERROR(INDEX('Client Overview'!$B$6:$G$40,MATCH(A219,'Client Overview'!$A$6:$A$40,0),MATCH(B219,'Client Overview'!$B$5:$G$5,0)),"")</x:f>
      </x:c>
      <x:c r="D219" s="173" t="n">
        <x:f>IFERROR(INDEX('Client Overview'!$I$5:$I$10,MATCH(B219,'Client Overview'!$H$5:$H$10,0)),"")</x:f>
        <x:v>1</x:v>
      </x:c>
      <x:c r="E219" s="170" t="str">
        <x:f>IF(OR(C219="",D219=""),"",EDATE(C219,D219))</x:f>
      </x:c>
      <x:c r="F219" s="173" t="str">
        <x:f>IF(E219="","",E219-TODAY())</x:f>
      </x:c>
      <x:c r="G219" s="166" t="str">
        <x:f>IF(E219="","No Date",IF(F219&lt;=INDEX('Client Overview'!$K$5:$K$10,MATCH(B219,'Client Overview'!$H$5:$H$10,0))*30.4375,"Red",IF(F219&lt;=INDEX('Client Overview'!$J$5:$J$10,MATCH(B219,'Client Overview'!$H$5:$H$10,0))*30.4375,"Yellow","Green")))</x:f>
        <x:v>No Date</x:v>
      </x:c>
    </x:row>
    <x:row r="220" ht="22" customHeight="1">
      <x:c r="A220" s="159" t="str">
        <x:f>INDEX('Client Overview'!$A$6:$A$40,INT((ROW()-16)/6)+1)</x:f>
        <x:v>Organization 35</x:v>
      </x:c>
      <x:c r="B220" s="160" t="str">
        <x:f>INDEX('Client Overview'!$B$5:$G$5,1,MOD(ROW()-16,6)+1)</x:f>
        <x:v>Policy #1</x:v>
      </x:c>
      <x:c r="C220" s="170" t="n">
        <x:f>IFERROR(INDEX('Client Overview'!$B$6:$G$40,MATCH(A220,'Client Overview'!$A$6:$A$40,0),MATCH(B220,'Client Overview'!$B$5:$G$5,0)),"")</x:f>
        <x:v>46037</x:v>
      </x:c>
      <x:c r="D220" s="173" t="n">
        <x:f>IFERROR(INDEX('Client Overview'!$I$5:$I$10,MATCH(B220,'Client Overview'!$H$5:$H$10,0)),"")</x:f>
        <x:v>15</x:v>
      </x:c>
      <x:c r="E220" s="170" t="n">
        <x:f>IF(OR(C220="",D220=""),"",EDATE(C220,D220))</x:f>
        <x:v>46492</x:v>
      </x:c>
      <x:c r="F220" s="173" t="n">
        <x:f>IF(E220="","",E220-TODAY())</x:f>
        <x:v>239</x:v>
      </x:c>
      <x:c r="G220" s="166" t="str">
        <x:f>IF(E220="","No Date",IF(F220&lt;=INDEX('Client Overview'!$K$5:$K$10,MATCH(B220,'Client Overview'!$H$5:$H$10,0))*30.4375,"Red",IF(F220&lt;=INDEX('Client Overview'!$J$5:$J$10,MATCH(B220,'Client Overview'!$H$5:$H$10,0))*30.4375,"Yellow","Green")))</x:f>
        <x:v>Green</x:v>
      </x:c>
    </x:row>
    <x:row r="221" ht="22" customHeight="1">
      <x:c r="A221" s="159" t="str">
        <x:f>INDEX('Client Overview'!$A$6:$A$40,INT((ROW()-16)/6)+1)</x:f>
        <x:v>Organization 35</x:v>
      </x:c>
      <x:c r="B221" s="160" t="str">
        <x:f>INDEX('Client Overview'!$B$5:$G$5,1,MOD(ROW()-16,6)+1)</x:f>
        <x:v>Policy #2–7</x:v>
      </x:c>
      <x:c r="C221" s="170" t="n">
        <x:f>IFERROR(INDEX('Client Overview'!$B$6:$G$40,MATCH(A221,'Client Overview'!$A$6:$A$40,0),MATCH(B221,'Client Overview'!$B$5:$G$5,0)),"")</x:f>
        <x:v>46037</x:v>
      </x:c>
      <x:c r="D221" s="173" t="n">
        <x:f>IFERROR(INDEX('Client Overview'!$I$5:$I$10,MATCH(B221,'Client Overview'!$H$5:$H$10,0)),"")</x:f>
        <x:v>15</x:v>
      </x:c>
      <x:c r="E221" s="170" t="n">
        <x:f>IF(OR(C221="",D221=""),"",EDATE(C221,D221))</x:f>
        <x:v>46492</x:v>
      </x:c>
      <x:c r="F221" s="173" t="n">
        <x:f>IF(E221="","",E221-TODAY())</x:f>
        <x:v>239</x:v>
      </x:c>
      <x:c r="G221" s="166" t="str">
        <x:f>IF(E221="","No Date",IF(F221&lt;=INDEX('Client Overview'!$K$5:$K$10,MATCH(B221,'Client Overview'!$H$5:$H$10,0))*30.4375,"Red",IF(F221&lt;=INDEX('Client Overview'!$J$5:$J$10,MATCH(B221,'Client Overview'!$H$5:$H$10,0))*30.4375,"Yellow","Green")))</x:f>
        <x:v>Green</x:v>
      </x:c>
    </x:row>
    <x:row r="222" ht="22" customHeight="1">
      <x:c r="A222" s="159" t="str">
        <x:f>INDEX('Client Overview'!$A$6:$A$40,INT((ROW()-16)/6)+1)</x:f>
        <x:v>Organization 35</x:v>
      </x:c>
      <x:c r="B222" s="160" t="str">
        <x:f>INDEX('Client Overview'!$B$5:$G$5,1,MOD(ROW()-16,6)+1)</x:f>
        <x:v>Annual Review</x:v>
      </x:c>
      <x:c r="C222" s="170" t="n">
        <x:f>IFERROR(INDEX('Client Overview'!$B$6:$G$40,MATCH(A222,'Client Overview'!$A$6:$A$40,0),MATCH(B222,'Client Overview'!$B$5:$G$5,0)),"")</x:f>
        <x:v>46037</x:v>
      </x:c>
      <x:c r="D222" s="173" t="n">
        <x:f>IFERROR(INDEX('Client Overview'!$I$5:$I$10,MATCH(B222,'Client Overview'!$H$5:$H$10,0)),"")</x:f>
        <x:v>15</x:v>
      </x:c>
      <x:c r="E222" s="170" t="n">
        <x:f>IF(OR(C222="",D222=""),"",EDATE(C222,D222))</x:f>
        <x:v>46492</x:v>
      </x:c>
      <x:c r="F222" s="173" t="n">
        <x:f>IF(E222="","",E222-TODAY())</x:f>
        <x:v>239</x:v>
      </x:c>
      <x:c r="G222" s="166" t="str">
        <x:f>IF(E222="","No Date",IF(F222&lt;=INDEX('Client Overview'!$K$5:$K$10,MATCH(B222,'Client Overview'!$H$5:$H$10,0))*30.4375,"Red",IF(F222&lt;=INDEX('Client Overview'!$J$5:$J$10,MATCH(B222,'Client Overview'!$H$5:$H$10,0))*30.4375,"Yellow","Green")))</x:f>
        <x:v>Green</x:v>
      </x:c>
    </x:row>
    <x:row r="223" ht="22" customHeight="1">
      <x:c r="A223" s="159" t="str">
        <x:f>INDEX('Client Overview'!$A$6:$A$40,INT((ROW()-16)/6)+1)</x:f>
        <x:v>Organization 35</x:v>
      </x:c>
      <x:c r="B223" s="160" t="str">
        <x:f>INDEX('Client Overview'!$B$5:$G$5,1,MOD(ROW()-16,6)+1)</x:f>
        <x:v>CSIRP Tabletop Completion</x:v>
      </x:c>
      <x:c r="C223" s="170" t="n">
        <x:f>IFERROR(INDEX('Client Overview'!$B$6:$G$40,MATCH(A223,'Client Overview'!$A$6:$A$40,0),MATCH(B223,'Client Overview'!$B$5:$G$5,0)),"")</x:f>
        <x:v>45214</x:v>
      </x:c>
      <x:c r="D223" s="173" t="n">
        <x:f>IFERROR(INDEX('Client Overview'!$I$5:$I$10,MATCH(B223,'Client Overview'!$H$5:$H$10,0)),"")</x:f>
        <x:v>36</x:v>
      </x:c>
      <x:c r="E223" s="170" t="n">
        <x:f>IF(OR(C223="",D223=""),"",EDATE(C223,D223))</x:f>
        <x:v>46310</x:v>
      </x:c>
      <x:c r="F223" s="173" t="n">
        <x:f>IF(E223="","",E223-TODAY())</x:f>
        <x:v>57</x:v>
      </x:c>
      <x:c r="G223" s="166" t="str">
        <x:f>IF(E223="","No Date",IF(F223&lt;=INDEX('Client Overview'!$K$5:$K$10,MATCH(B223,'Client Overview'!$H$5:$H$10,0))*30.4375,"Red",IF(F223&lt;=INDEX('Client Overview'!$J$5:$J$10,MATCH(B223,'Client Overview'!$H$5:$H$10,0))*30.4375,"Yellow","Green")))</x:f>
        <x:v>Red</x:v>
      </x:c>
    </x:row>
    <x:row r="224" ht="22" customHeight="1">
      <x:c r="A224" s="159" t="str">
        <x:f>INDEX('Client Overview'!$A$6:$A$40,INT((ROW()-16)/6)+1)</x:f>
        <x:v>Organization 35</x:v>
      </x:c>
      <x:c r="B224" s="160" t="str">
        <x:f>INDEX('Client Overview'!$B$5:$G$5,1,MOD(ROW()-16,6)+1)</x:f>
        <x:v>RSAW Evidence Tracker</x:v>
      </x:c>
      <x:c r="C224" s="170" t="n">
        <x:f>IFERROR(INDEX('Client Overview'!$B$6:$G$40,MATCH(A224,'Client Overview'!$A$6:$A$40,0),MATCH(B224,'Client Overview'!$B$5:$G$5,0)),"")</x:f>
        <x:v>46174</x:v>
      </x:c>
      <x:c r="D224" s="173" t="n">
        <x:f>IFERROR(INDEX('Client Overview'!$I$5:$I$10,MATCH(B224,'Client Overview'!$H$5:$H$10,0)),"")</x:f>
        <x:v>12</x:v>
      </x:c>
      <x:c r="E224" s="170" t="n">
        <x:f>IF(OR(C224="",D224=""),"",EDATE(C224,D224))</x:f>
        <x:v>46539</x:v>
      </x:c>
      <x:c r="F224" s="173" t="n">
        <x:f>IF(E224="","",E224-TODAY())</x:f>
        <x:v>286</x:v>
      </x:c>
      <x:c r="G224" s="166" t="str">
        <x:f>IF(E224="","No Date",IF(F224&lt;=INDEX('Client Overview'!$K$5:$K$10,MATCH(B224,'Client Overview'!$H$5:$H$10,0))*30.4375,"Red",IF(F224&lt;=INDEX('Client Overview'!$J$5:$J$10,MATCH(B224,'Client Overview'!$H$5:$H$10,0))*30.4375,"Yellow","Green")))</x:f>
        <x:v>Green</x:v>
      </x:c>
    </x:row>
    <x:row r="225" ht="22" customHeight="1">
      <x:c r="A225" s="161" t="str">
        <x:f>INDEX('Client Overview'!$A$6:$A$40,INT((ROW()-16)/6)+1)</x:f>
        <x:v>Organization 35</x:v>
      </x:c>
      <x:c r="B225" s="162" t="str">
        <x:f>INDEX('Client Overview'!$B$5:$G$5,1,MOD(ROW()-16,6)+1)</x:f>
        <x:v>CIP Monthly Questions</x:v>
      </x:c>
      <x:c r="C225" s="171" t="str">
        <x:f>IFERROR(INDEX('Client Overview'!$B$6:$G$40,MATCH(A225,'Client Overview'!$A$6:$A$40,0),MATCH(B225,'Client Overview'!$B$5:$G$5,0)),"")</x:f>
      </x:c>
      <x:c r="D225" s="174" t="n">
        <x:f>IFERROR(INDEX('Client Overview'!$I$5:$I$10,MATCH(B225,'Client Overview'!$H$5:$H$10,0)),"")</x:f>
        <x:v>1</x:v>
      </x:c>
      <x:c r="E225" s="171" t="str">
        <x:f>IF(OR(C225="",D225=""),"",EDATE(C225,D225))</x:f>
      </x:c>
      <x:c r="F225" s="174" t="str">
        <x:f>IF(E225="","",E225-TODAY())</x:f>
      </x:c>
      <x:c r="G225" s="168" t="str">
        <x:f>IF(E225="","No Date",IF(F225&lt;=INDEX('Client Overview'!$K$5:$K$10,MATCH(B225,'Client Overview'!$H$5:$H$10,0))*30.4375,"Red",IF(F225&lt;=INDEX('Client Overview'!$J$5:$J$10,MATCH(B225,'Client Overview'!$H$5:$H$10,0))*30.4375,"Yellow","Green")))</x:f>
        <x:v>No Date</x:v>
      </x:c>
    </x:row>
  </x:sheetData>
  <x:mergeCells>
    <x:mergeCell ref="A1:G1"/>
    <x:mergeCell ref="A2:G2"/>
    <x:mergeCell ref="B4:C4"/>
    <x:mergeCell ref="E4:G4"/>
    <x:mergeCell ref="A10:G10"/>
    <x:mergeCell ref="A12:G12"/>
    <x:mergeCell ref="A13:G13"/>
  </x:mergeCells>
  <x:conditionalFormatting sqref="C7:G7">
    <x:cfRule type="expression" dxfId="15" priority="1">
      <x:formula>$G7="Green"</x:formula>
    </x:cfRule>
    <x:cfRule type="expression" dxfId="16" priority="2">
      <x:formula>$G7="Yellow"</x:formula>
    </x:cfRule>
    <x:cfRule type="expression" dxfId="17" priority="3">
      <x:formula>$G7="Red"</x:formula>
    </x:cfRule>
    <x:cfRule type="expression" dxfId="18" priority="4">
      <x:formula>$G7="No Date"</x:formula>
    </x:cfRule>
  </x:conditionalFormatting>
  <x:conditionalFormatting sqref="C16:G225">
    <x:cfRule type="expression" dxfId="41" priority="5">
      <x:formula>$G16="Green"</x:formula>
    </x:cfRule>
    <x:cfRule type="expression" dxfId="42" priority="6">
      <x:formula>$G16="Yellow"</x:formula>
    </x:cfRule>
    <x:cfRule type="expression" dxfId="43" priority="7">
      <x:formula>$G16="Red"</x:formula>
    </x:cfRule>
    <x:cfRule type="expression" dxfId="44" priority="8">
      <x:formula>$G16="No Date"</x:formula>
    </x:cfRule>
    <x:cfRule type="expression" dxfId="63" priority="9">
      <x:formula>$G16="Green"</x:formula>
    </x:cfRule>
    <x:cfRule type="expression" dxfId="64" priority="10">
      <x:formula>$G16="Yellow"</x:formula>
    </x:cfRule>
    <x:cfRule type="expression" dxfId="65" priority="11">
      <x:formula>$G16="Red"</x:formula>
    </x:cfRule>
    <x:cfRule type="expression" dxfId="66" priority="12">
      <x:formula>$G16="No Date"</x:formula>
    </x:cfRule>
  </x:conditionalFormatting>
  <x:dataValidations count="2">
    <x:dataValidation type="list" sqref="B4">
      <x:formula1>$J$2:$J$36</x:formula1>
    </x:dataValidation>
    <x:dataValidation type="list" sqref="E4">
      <x:formula1>$K$2:$K$7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256072e24f4903"/>
  </x:tableParts>
</x:worksheet>
</file>